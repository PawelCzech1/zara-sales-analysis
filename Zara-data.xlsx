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awel\Desktop\Analiza_Danych\kajodata\Tableau\Zara-analisys\"/>
    </mc:Choice>
  </mc:AlternateContent>
  <xr:revisionPtr revIDLastSave="0" documentId="13_ncr:1_{1880D1AE-0BC3-47D3-B82A-3F587C87A4E8}" xr6:coauthVersionLast="47" xr6:coauthVersionMax="47" xr10:uidLastSave="{00000000-0000-0000-0000-000000000000}"/>
  <bookViews>
    <workbookView xWindow="28680" yWindow="-120" windowWidth="20730" windowHeight="11040" firstSheet="1" activeTab="1" xr2:uid="{7F5E936D-ECB2-48F2-A549-D216017F6B21}"/>
  </bookViews>
  <sheets>
    <sheet name="Sheet2" sheetId="4" state="hidden" r:id="rId1"/>
    <sheet name="dashboard" sheetId="5" r:id="rId2"/>
    <sheet name="Insights" sheetId="13" r:id="rId3"/>
    <sheet name="Sheet5" sheetId="10" state="hidden" r:id="rId4"/>
    <sheet name="Sheet6" sheetId="11" state="hidden" r:id="rId5"/>
    <sheet name="Sheet7" sheetId="12" state="hidden" r:id="rId6"/>
    <sheet name="Zara_data" sheetId="2" r:id="rId7"/>
  </sheets>
  <definedNames>
    <definedName name="ExternalData_1" localSheetId="6" hidden="1">Zara_data!$A$1:$O$186</definedName>
    <definedName name="Grupa">Zara_data!$U$2:$U$6</definedName>
    <definedName name="Possition">Zara_data!$T$2:$T$4</definedName>
    <definedName name="Slicer_terms">#N/A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2" l="1"/>
  <c r="T3" i="2"/>
  <c r="T4" i="2"/>
  <c r="T5" i="2"/>
  <c r="T1" i="2"/>
  <c r="P2" i="2"/>
  <c r="P3" i="2"/>
  <c r="Q3" i="2" s="1"/>
  <c r="P4" i="2"/>
  <c r="P5" i="2"/>
  <c r="P6" i="2"/>
  <c r="P7" i="2"/>
  <c r="Q7" i="2" s="1"/>
  <c r="P8" i="2"/>
  <c r="P9" i="2"/>
  <c r="P10" i="2"/>
  <c r="P11" i="2"/>
  <c r="Q11" i="2" s="1"/>
  <c r="P12" i="2"/>
  <c r="P13" i="2"/>
  <c r="P14" i="2"/>
  <c r="P15" i="2"/>
  <c r="Q15" i="2" s="1"/>
  <c r="P16" i="2"/>
  <c r="P17" i="2"/>
  <c r="P18" i="2"/>
  <c r="P19" i="2"/>
  <c r="Q19" i="2" s="1"/>
  <c r="P20" i="2"/>
  <c r="P21" i="2"/>
  <c r="P22" i="2"/>
  <c r="P23" i="2"/>
  <c r="Q23" i="2" s="1"/>
  <c r="P24" i="2"/>
  <c r="P25" i="2"/>
  <c r="P26" i="2"/>
  <c r="P27" i="2"/>
  <c r="Q27" i="2" s="1"/>
  <c r="P28" i="2"/>
  <c r="P29" i="2"/>
  <c r="P30" i="2"/>
  <c r="P31" i="2"/>
  <c r="Q31" i="2" s="1"/>
  <c r="P32" i="2"/>
  <c r="P33" i="2"/>
  <c r="P34" i="2"/>
  <c r="P35" i="2"/>
  <c r="Q35" i="2" s="1"/>
  <c r="P36" i="2"/>
  <c r="P37" i="2"/>
  <c r="P38" i="2"/>
  <c r="P39" i="2"/>
  <c r="Q39" i="2" s="1"/>
  <c r="P40" i="2"/>
  <c r="P41" i="2"/>
  <c r="P42" i="2"/>
  <c r="P43" i="2"/>
  <c r="Q43" i="2" s="1"/>
  <c r="P44" i="2"/>
  <c r="P45" i="2"/>
  <c r="P46" i="2"/>
  <c r="P47" i="2"/>
  <c r="Q47" i="2" s="1"/>
  <c r="P48" i="2"/>
  <c r="P49" i="2"/>
  <c r="P50" i="2"/>
  <c r="P51" i="2"/>
  <c r="Q51" i="2" s="1"/>
  <c r="P52" i="2"/>
  <c r="P53" i="2"/>
  <c r="P54" i="2"/>
  <c r="P55" i="2"/>
  <c r="Q55" i="2" s="1"/>
  <c r="P56" i="2"/>
  <c r="P57" i="2"/>
  <c r="P58" i="2"/>
  <c r="P59" i="2"/>
  <c r="Q59" i="2" s="1"/>
  <c r="P60" i="2"/>
  <c r="P61" i="2"/>
  <c r="P62" i="2"/>
  <c r="P63" i="2"/>
  <c r="Q63" i="2" s="1"/>
  <c r="P64" i="2"/>
  <c r="P65" i="2"/>
  <c r="P66" i="2"/>
  <c r="P67" i="2"/>
  <c r="Q67" i="2" s="1"/>
  <c r="P68" i="2"/>
  <c r="P69" i="2"/>
  <c r="P70" i="2"/>
  <c r="P71" i="2"/>
  <c r="Q71" i="2" s="1"/>
  <c r="P72" i="2"/>
  <c r="P73" i="2"/>
  <c r="P74" i="2"/>
  <c r="P75" i="2"/>
  <c r="Q75" i="2" s="1"/>
  <c r="P76" i="2"/>
  <c r="P77" i="2"/>
  <c r="P78" i="2"/>
  <c r="P79" i="2"/>
  <c r="Q79" i="2" s="1"/>
  <c r="P80" i="2"/>
  <c r="P81" i="2"/>
  <c r="P82" i="2"/>
  <c r="P83" i="2"/>
  <c r="Q83" i="2" s="1"/>
  <c r="P84" i="2"/>
  <c r="P85" i="2"/>
  <c r="P86" i="2"/>
  <c r="P87" i="2"/>
  <c r="Q87" i="2" s="1"/>
  <c r="P88" i="2"/>
  <c r="P89" i="2"/>
  <c r="P90" i="2"/>
  <c r="P91" i="2"/>
  <c r="Q91" i="2" s="1"/>
  <c r="P92" i="2"/>
  <c r="P93" i="2"/>
  <c r="P94" i="2"/>
  <c r="P95" i="2"/>
  <c r="Q95" i="2" s="1"/>
  <c r="P96" i="2"/>
  <c r="P97" i="2"/>
  <c r="P98" i="2"/>
  <c r="P99" i="2"/>
  <c r="Q99" i="2" s="1"/>
  <c r="P100" i="2"/>
  <c r="P101" i="2"/>
  <c r="P102" i="2"/>
  <c r="P103" i="2"/>
  <c r="Q103" i="2" s="1"/>
  <c r="P104" i="2"/>
  <c r="P105" i="2"/>
  <c r="P106" i="2"/>
  <c r="P107" i="2"/>
  <c r="Q107" i="2" s="1"/>
  <c r="P108" i="2"/>
  <c r="P109" i="2"/>
  <c r="P110" i="2"/>
  <c r="P111" i="2"/>
  <c r="Q111" i="2" s="1"/>
  <c r="P112" i="2"/>
  <c r="P113" i="2"/>
  <c r="P114" i="2"/>
  <c r="P115" i="2"/>
  <c r="Q115" i="2" s="1"/>
  <c r="P116" i="2"/>
  <c r="P117" i="2"/>
  <c r="P118" i="2"/>
  <c r="P119" i="2"/>
  <c r="Q119" i="2" s="1"/>
  <c r="P120" i="2"/>
  <c r="P121" i="2"/>
  <c r="P122" i="2"/>
  <c r="P123" i="2"/>
  <c r="Q123" i="2" s="1"/>
  <c r="P124" i="2"/>
  <c r="P125" i="2"/>
  <c r="P126" i="2"/>
  <c r="P127" i="2"/>
  <c r="Q127" i="2" s="1"/>
  <c r="P128" i="2"/>
  <c r="P129" i="2"/>
  <c r="P130" i="2"/>
  <c r="P131" i="2"/>
  <c r="Q131" i="2" s="1"/>
  <c r="P132" i="2"/>
  <c r="P133" i="2"/>
  <c r="P134" i="2"/>
  <c r="P135" i="2"/>
  <c r="Q135" i="2" s="1"/>
  <c r="P136" i="2"/>
  <c r="P137" i="2"/>
  <c r="P138" i="2"/>
  <c r="P139" i="2"/>
  <c r="Q139" i="2" s="1"/>
  <c r="P140" i="2"/>
  <c r="P141" i="2"/>
  <c r="P142" i="2"/>
  <c r="P143" i="2"/>
  <c r="Q143" i="2" s="1"/>
  <c r="P144" i="2"/>
  <c r="P145" i="2"/>
  <c r="P146" i="2"/>
  <c r="P147" i="2"/>
  <c r="Q147" i="2" s="1"/>
  <c r="P148" i="2"/>
  <c r="P149" i="2"/>
  <c r="P150" i="2"/>
  <c r="P151" i="2"/>
  <c r="Q151" i="2" s="1"/>
  <c r="P152" i="2"/>
  <c r="P153" i="2"/>
  <c r="P154" i="2"/>
  <c r="P155" i="2"/>
  <c r="Q155" i="2" s="1"/>
  <c r="P156" i="2"/>
  <c r="P157" i="2"/>
  <c r="P158" i="2"/>
  <c r="P159" i="2"/>
  <c r="Q159" i="2" s="1"/>
  <c r="P160" i="2"/>
  <c r="P161" i="2"/>
  <c r="P162" i="2"/>
  <c r="P163" i="2"/>
  <c r="Q163" i="2" s="1"/>
  <c r="P164" i="2"/>
  <c r="P165" i="2"/>
  <c r="P166" i="2"/>
  <c r="P167" i="2"/>
  <c r="Q167" i="2" s="1"/>
  <c r="P168" i="2"/>
  <c r="P169" i="2"/>
  <c r="P170" i="2"/>
  <c r="P171" i="2"/>
  <c r="Q171" i="2" s="1"/>
  <c r="P172" i="2"/>
  <c r="P173" i="2"/>
  <c r="P174" i="2"/>
  <c r="P175" i="2"/>
  <c r="Q175" i="2" s="1"/>
  <c r="P176" i="2"/>
  <c r="P177" i="2"/>
  <c r="P178" i="2"/>
  <c r="P179" i="2"/>
  <c r="Q179" i="2" s="1"/>
  <c r="P180" i="2"/>
  <c r="P181" i="2"/>
  <c r="P182" i="2"/>
  <c r="P183" i="2"/>
  <c r="Q183" i="2" s="1"/>
  <c r="P184" i="2"/>
  <c r="P185" i="2"/>
  <c r="P186" i="2"/>
  <c r="Q2" i="2"/>
  <c r="Q4" i="2"/>
  <c r="Q5" i="2"/>
  <c r="Q6" i="2"/>
  <c r="Q8" i="2"/>
  <c r="Q9" i="2"/>
  <c r="Q10" i="2"/>
  <c r="Q12" i="2"/>
  <c r="Q13" i="2"/>
  <c r="Q14" i="2"/>
  <c r="Q16" i="2"/>
  <c r="Q17" i="2"/>
  <c r="Q18" i="2"/>
  <c r="Q20" i="2"/>
  <c r="Q21" i="2"/>
  <c r="Q22" i="2"/>
  <c r="Q24" i="2"/>
  <c r="Q25" i="2"/>
  <c r="Q26" i="2"/>
  <c r="Q28" i="2"/>
  <c r="Q29" i="2"/>
  <c r="Q30" i="2"/>
  <c r="Q32" i="2"/>
  <c r="Q33" i="2"/>
  <c r="Q34" i="2"/>
  <c r="Q36" i="2"/>
  <c r="Q37" i="2"/>
  <c r="Q38" i="2"/>
  <c r="Q40" i="2"/>
  <c r="Q41" i="2"/>
  <c r="Q42" i="2"/>
  <c r="Q44" i="2"/>
  <c r="Q45" i="2"/>
  <c r="Q46" i="2"/>
  <c r="Q48" i="2"/>
  <c r="Q49" i="2"/>
  <c r="Q50" i="2"/>
  <c r="Q52" i="2"/>
  <c r="Q53" i="2"/>
  <c r="Q54" i="2"/>
  <c r="Q56" i="2"/>
  <c r="Q57" i="2"/>
  <c r="Q58" i="2"/>
  <c r="Q60" i="2"/>
  <c r="Q61" i="2"/>
  <c r="Q62" i="2"/>
  <c r="Q64" i="2"/>
  <c r="Q65" i="2"/>
  <c r="Q66" i="2"/>
  <c r="Q68" i="2"/>
  <c r="Q69" i="2"/>
  <c r="Q70" i="2"/>
  <c r="Q72" i="2"/>
  <c r="Q73" i="2"/>
  <c r="Q74" i="2"/>
  <c r="Q76" i="2"/>
  <c r="Q77" i="2"/>
  <c r="Q78" i="2"/>
  <c r="Q80" i="2"/>
  <c r="Q81" i="2"/>
  <c r="Q82" i="2"/>
  <c r="Q84" i="2"/>
  <c r="Q85" i="2"/>
  <c r="Q86" i="2"/>
  <c r="Q88" i="2"/>
  <c r="Q89" i="2"/>
  <c r="Q90" i="2"/>
  <c r="Q92" i="2"/>
  <c r="Q93" i="2"/>
  <c r="Q94" i="2"/>
  <c r="Q96" i="2"/>
  <c r="Q97" i="2"/>
  <c r="Q98" i="2"/>
  <c r="Q100" i="2"/>
  <c r="Q101" i="2"/>
  <c r="Q102" i="2"/>
  <c r="Q104" i="2"/>
  <c r="Q105" i="2"/>
  <c r="Q106" i="2"/>
  <c r="Q108" i="2"/>
  <c r="Q109" i="2"/>
  <c r="Q110" i="2"/>
  <c r="Q112" i="2"/>
  <c r="Q113" i="2"/>
  <c r="Q114" i="2"/>
  <c r="Q116" i="2"/>
  <c r="Q117" i="2"/>
  <c r="Q118" i="2"/>
  <c r="Q120" i="2"/>
  <c r="Q121" i="2"/>
  <c r="Q122" i="2"/>
  <c r="Q124" i="2"/>
  <c r="Q125" i="2"/>
  <c r="Q126" i="2"/>
  <c r="Q128" i="2"/>
  <c r="Q129" i="2"/>
  <c r="Q130" i="2"/>
  <c r="Q132" i="2"/>
  <c r="Q133" i="2"/>
  <c r="Q134" i="2"/>
  <c r="Q136" i="2"/>
  <c r="Q137" i="2"/>
  <c r="Q138" i="2"/>
  <c r="Q140" i="2"/>
  <c r="Q141" i="2"/>
  <c r="Q142" i="2"/>
  <c r="Q144" i="2"/>
  <c r="Q145" i="2"/>
  <c r="Q146" i="2"/>
  <c r="Q148" i="2"/>
  <c r="Q149" i="2"/>
  <c r="Q150" i="2"/>
  <c r="Q152" i="2"/>
  <c r="Q153" i="2"/>
  <c r="Q154" i="2"/>
  <c r="Q156" i="2"/>
  <c r="Q157" i="2"/>
  <c r="Q158" i="2"/>
  <c r="Q160" i="2"/>
  <c r="Q161" i="2"/>
  <c r="Q162" i="2"/>
  <c r="Q164" i="2"/>
  <c r="Q165" i="2"/>
  <c r="Q166" i="2"/>
  <c r="Q168" i="2"/>
  <c r="Q169" i="2"/>
  <c r="Q170" i="2"/>
  <c r="Q172" i="2"/>
  <c r="Q173" i="2"/>
  <c r="Q174" i="2"/>
  <c r="Q176" i="2"/>
  <c r="Q177" i="2"/>
  <c r="Q178" i="2"/>
  <c r="Q180" i="2"/>
  <c r="Q181" i="2"/>
  <c r="Q182" i="2"/>
  <c r="Q184" i="2"/>
  <c r="Q185" i="2"/>
  <c r="Q18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9FA97E-7F02-469A-95CC-E514FE58B8A6}" keepAlive="1" name="Query - Zara_data" description="Connection to the 'Zara_data' query in the workbook." type="5" refreshedVersion="8" background="1" saveData="1">
    <dbPr connection="Provider=Microsoft.Mashup.OleDb.1;Data Source=$Workbook$;Location=Zara_data;Extended Properties=&quot;&quot;" command="SELECT * FROM [Zara_data]"/>
  </connection>
</connections>
</file>

<file path=xl/sharedStrings.xml><?xml version="1.0" encoding="utf-8"?>
<sst xmlns="http://schemas.openxmlformats.org/spreadsheetml/2006/main" count="1938" uniqueCount="434">
  <si>
    <t>Product ID</t>
  </si>
  <si>
    <t>Product Position</t>
  </si>
  <si>
    <t>Promotion</t>
  </si>
  <si>
    <t>Product Category</t>
  </si>
  <si>
    <t>Seasonal</t>
  </si>
  <si>
    <t>Sales Volume</t>
  </si>
  <si>
    <t>brand</t>
  </si>
  <si>
    <t>sku</t>
  </si>
  <si>
    <t>name</t>
  </si>
  <si>
    <t>price</t>
  </si>
  <si>
    <t>currency</t>
  </si>
  <si>
    <t>scraped_date</t>
  </si>
  <si>
    <t>scraped_time</t>
  </si>
  <si>
    <t>terms</t>
  </si>
  <si>
    <t>section</t>
  </si>
  <si>
    <t>Aisle</t>
  </si>
  <si>
    <t>No</t>
  </si>
  <si>
    <t>Clothing</t>
  </si>
  <si>
    <t>Zara</t>
  </si>
  <si>
    <t>BASIC PUFFER JACKET</t>
  </si>
  <si>
    <t>USD</t>
  </si>
  <si>
    <t>jackets</t>
  </si>
  <si>
    <t>MAN</t>
  </si>
  <si>
    <t>324052738-800-46</t>
  </si>
  <si>
    <t>TUXEDO JACKET</t>
  </si>
  <si>
    <t>End-cap</t>
  </si>
  <si>
    <t>Yes</t>
  </si>
  <si>
    <t>335342680-800-44</t>
  </si>
  <si>
    <t>SLIM FIT SUIT JACKET</t>
  </si>
  <si>
    <t>328303236-420-44</t>
  </si>
  <si>
    <t>STRETCH SUIT JACKET</t>
  </si>
  <si>
    <t>312368260-800-2</t>
  </si>
  <si>
    <t>DOUBLE FACED JACKET</t>
  </si>
  <si>
    <t>320298385-807-2</t>
  </si>
  <si>
    <t>CONTRASTING COLLAR JACKET</t>
  </si>
  <si>
    <t>Front of Store</t>
  </si>
  <si>
    <t>278112470-800-2</t>
  </si>
  <si>
    <t>FAUX LEATHER PUFFER JACKET</t>
  </si>
  <si>
    <t>322972485-431-46</t>
  </si>
  <si>
    <t>SUIT JACKET IN 100% LINEN</t>
  </si>
  <si>
    <t>313854165-401-46</t>
  </si>
  <si>
    <t>100% WOOL SUIT JACKET</t>
  </si>
  <si>
    <t>312372602-800-2</t>
  </si>
  <si>
    <t>100% FEATHER FILL PUFFER JACKET</t>
  </si>
  <si>
    <t>316207900-710-2</t>
  </si>
  <si>
    <t>HERRINGBONE TEXTURED JACKET</t>
  </si>
  <si>
    <t>329186122-800-2</t>
  </si>
  <si>
    <t>OVERSIZED CROPPED JACKET LIMITED EDITION</t>
  </si>
  <si>
    <t>311297791-800-2</t>
  </si>
  <si>
    <t>LEATHER BIKER JACKET</t>
  </si>
  <si>
    <t>323134418-800-3</t>
  </si>
  <si>
    <t>CROPPED LEATHER JACKET</t>
  </si>
  <si>
    <t>311297555-706-2</t>
  </si>
  <si>
    <t>FAUX LEATHER BOXY FIT JACKET</t>
  </si>
  <si>
    <t>317012940-800-2</t>
  </si>
  <si>
    <t>FAUX LEATHER JACKET</t>
  </si>
  <si>
    <t>311292672-800-2</t>
  </si>
  <si>
    <t>FAUX SUEDE BOMBER JACKET</t>
  </si>
  <si>
    <t>321496837-400-3</t>
  </si>
  <si>
    <t>DENIM BOMBER JACKET</t>
  </si>
  <si>
    <t>316205038-615-2</t>
  </si>
  <si>
    <t>BOUCLÉ TEXTURED JACKET</t>
  </si>
  <si>
    <t>313845662-400-3</t>
  </si>
  <si>
    <t>JACQUARD DENIM JACKET</t>
  </si>
  <si>
    <t>320264577-800-2</t>
  </si>
  <si>
    <t>PADDED DENIM JACKET</t>
  </si>
  <si>
    <t>315529534-705-3</t>
  </si>
  <si>
    <t>LEATHER JACKET</t>
  </si>
  <si>
    <t>320423517-800-2</t>
  </si>
  <si>
    <t>LIGHTWEIGHT BOMBER JACKET</t>
  </si>
  <si>
    <t>328250627-251-46</t>
  </si>
  <si>
    <t>SUIT JACKET</t>
  </si>
  <si>
    <t>311309526-800-2</t>
  </si>
  <si>
    <t>FAUX LEATHER BOMBER JACKET</t>
  </si>
  <si>
    <t>311287528-811-2</t>
  </si>
  <si>
    <t>PATCH BOMBER JACKET</t>
  </si>
  <si>
    <t>342657802-914-2</t>
  </si>
  <si>
    <t>STRETCH POCKET OVERSHIRT</t>
  </si>
  <si>
    <t>316207898-712-2</t>
  </si>
  <si>
    <t>RIB COLLAR JACKET</t>
  </si>
  <si>
    <t>321496761-800-2</t>
  </si>
  <si>
    <t>FAUX LEATHER OVERSIZED JACKET LIMITED EDITION</t>
  </si>
  <si>
    <t>311307255-800-2</t>
  </si>
  <si>
    <t>CONTRASTING PATCHES BOMBER JACKET</t>
  </si>
  <si>
    <t>330274270-800-2</t>
  </si>
  <si>
    <t>CROPPED BOMBER JACKET LIMITED EDITION</t>
  </si>
  <si>
    <t>315758723-401-2</t>
  </si>
  <si>
    <t>BOMBER JACKET</t>
  </si>
  <si>
    <t>311302863-800-2</t>
  </si>
  <si>
    <t>FAUX SUEDE JACKET</t>
  </si>
  <si>
    <t>323134415-700-3</t>
  </si>
  <si>
    <t>SUEDE JACKET</t>
  </si>
  <si>
    <t>321143726-712-2</t>
  </si>
  <si>
    <t>TEXTURED JACKET</t>
  </si>
  <si>
    <t>320220949-507-2</t>
  </si>
  <si>
    <t>CROPPED TEXTURED JACKET</t>
  </si>
  <si>
    <t>312664937-514-2</t>
  </si>
  <si>
    <t>POCKET PUFFER JACKET</t>
  </si>
  <si>
    <t>321143723-401-2</t>
  </si>
  <si>
    <t>TECHNICAL JACKET WITH POCKETS</t>
  </si>
  <si>
    <t>335663355-406-2</t>
  </si>
  <si>
    <t>RIPPED DENIM JACKET</t>
  </si>
  <si>
    <t>312363708-800-2</t>
  </si>
  <si>
    <t>TEXTURED POCKET JACKET</t>
  </si>
  <si>
    <t>312320664-251-2</t>
  </si>
  <si>
    <t>FAUX SUEDE PATCH JACKET</t>
  </si>
  <si>
    <t>311302445-445-97</t>
  </si>
  <si>
    <t>PUFFER JACKET WITH POUCH POCKET</t>
  </si>
  <si>
    <t>317107014-707-2</t>
  </si>
  <si>
    <t>TEXTURED WEAVE OVERSHIRT</t>
  </si>
  <si>
    <t>328594167-800-46</t>
  </si>
  <si>
    <t>STRAIGHT SUIT JACKET</t>
  </si>
  <si>
    <t>311309598-711-2</t>
  </si>
  <si>
    <t>HOODED QUILTED JACKET</t>
  </si>
  <si>
    <t>267133943-711-2</t>
  </si>
  <si>
    <t>LIGHTWEIGHT PUFFER JACKET</t>
  </si>
  <si>
    <t>318265017-401-2</t>
  </si>
  <si>
    <t>COTTON BLEND BOMBER JACKET</t>
  </si>
  <si>
    <t>322410604-401-2</t>
  </si>
  <si>
    <t>POCKET JACKET</t>
  </si>
  <si>
    <t>324149982-982-2</t>
  </si>
  <si>
    <t>OVERSIZED BOMBER JACKET</t>
  </si>
  <si>
    <t>320531693-707-2</t>
  </si>
  <si>
    <t>EMBROIDERED PATCH JACKET</t>
  </si>
  <si>
    <t>328279967-409-3</t>
  </si>
  <si>
    <t>ACID WASH DENIM JACKET</t>
  </si>
  <si>
    <t>320774184-800-97</t>
  </si>
  <si>
    <t>VINTAGE EFFECT LEATHER BOMBER JACKET</t>
  </si>
  <si>
    <t>322972491-800-2</t>
  </si>
  <si>
    <t>TEXTURED DENIM JACKET LIMITED EDITION</t>
  </si>
  <si>
    <t>321501682-800-2</t>
  </si>
  <si>
    <t>WOOL BLEND JACKET</t>
  </si>
  <si>
    <t>328616906-712-2</t>
  </si>
  <si>
    <t>COTTON - LINEN BLEND JACKET</t>
  </si>
  <si>
    <t>311292541-802-2</t>
  </si>
  <si>
    <t>FLEECE BOMBER JACKET</t>
  </si>
  <si>
    <t>319205114-807-2</t>
  </si>
  <si>
    <t>ZIPPERED JACKET</t>
  </si>
  <si>
    <t>276213846-500-2</t>
  </si>
  <si>
    <t>COTTON JACKET</t>
  </si>
  <si>
    <t>328244979-064-48</t>
  </si>
  <si>
    <t>WOOL BLEND TEXTURED JACKET</t>
  </si>
  <si>
    <t>323050745-798-97</t>
  </si>
  <si>
    <t>CONTRAST JACQUARD JACKET</t>
  </si>
  <si>
    <t>319166635-401-2</t>
  </si>
  <si>
    <t>CROPPED OVERSHIRT</t>
  </si>
  <si>
    <t>311297489-800-2</t>
  </si>
  <si>
    <t>CONTRASTING PATCHES HOODED JACKET</t>
  </si>
  <si>
    <t>311292073-709-2</t>
  </si>
  <si>
    <t>UTILITY POCKET JACKET</t>
  </si>
  <si>
    <t>336378923-700-2</t>
  </si>
  <si>
    <t>unavailable data</t>
  </si>
  <si>
    <t>311307584-518-2</t>
  </si>
  <si>
    <t>TECHNICAL PADDED JACKET</t>
  </si>
  <si>
    <t>321151893-609-2</t>
  </si>
  <si>
    <t>MIXED COLLAR WAXED JACKET</t>
  </si>
  <si>
    <t>315947178-800-2</t>
  </si>
  <si>
    <t>PADDED BOMBER JACKET</t>
  </si>
  <si>
    <t>330290360-427-3</t>
  </si>
  <si>
    <t>POCKET DENIM JACKET</t>
  </si>
  <si>
    <t>320449897-427-2</t>
  </si>
  <si>
    <t>BOXY FIT DENIM JACKET</t>
  </si>
  <si>
    <t>311297724-700-97</t>
  </si>
  <si>
    <t>FAUX SHEARLING PLAID JACKET</t>
  </si>
  <si>
    <t>328332050-700-97</t>
  </si>
  <si>
    <t>EMBROIDERED FOREST JACKET</t>
  </si>
  <si>
    <t>311282469-505-2</t>
  </si>
  <si>
    <t>POCKET OVERSHIRT</t>
  </si>
  <si>
    <t>319502128-515-2</t>
  </si>
  <si>
    <t>BOUCLE TEXTURED VEST</t>
  </si>
  <si>
    <t>311287226-472-2</t>
  </si>
  <si>
    <t>COLOR BLOCK PUFFER JACKET</t>
  </si>
  <si>
    <t>316683359-818-2</t>
  </si>
  <si>
    <t>LONGLINE QUILTED JACKET</t>
  </si>
  <si>
    <t>322901350-800-46</t>
  </si>
  <si>
    <t>WOOL BLEND SUIT JACKET</t>
  </si>
  <si>
    <t>322929313-802-97</t>
  </si>
  <si>
    <t>HOODED KNIT CARDIGAN</t>
  </si>
  <si>
    <t>267186163-643-2</t>
  </si>
  <si>
    <t>HOODED TECHNICAL JACKET</t>
  </si>
  <si>
    <t>329706743-401-46</t>
  </si>
  <si>
    <t>HOUNDSTOOTH SUIT JACKET</t>
  </si>
  <si>
    <t>323675323-700-2</t>
  </si>
  <si>
    <t>WASHED EFFECT BOMBER JACKET</t>
  </si>
  <si>
    <t>323672371-507-2</t>
  </si>
  <si>
    <t>WASHED TECHNICAL JACKET</t>
  </si>
  <si>
    <t>323212374-510-2</t>
  </si>
  <si>
    <t>MIXED COLLAR JACKET</t>
  </si>
  <si>
    <t>322547863-811-2</t>
  </si>
  <si>
    <t>HOODED DENIM JACKET</t>
  </si>
  <si>
    <t>320600266-745-2</t>
  </si>
  <si>
    <t>WAXED EFFECT PLAID JACKET</t>
  </si>
  <si>
    <t>320771732-800-2</t>
  </si>
  <si>
    <t>WOOL BLEND FELT TEXTURE JACKET</t>
  </si>
  <si>
    <t>289179723-020-2</t>
  </si>
  <si>
    <t>PRINTED DENIM OVERSHIRT</t>
  </si>
  <si>
    <t>327747299-800-2</t>
  </si>
  <si>
    <t>STRUCTURED TWILL OVERSHIRT</t>
  </si>
  <si>
    <t>317782501-701-2</t>
  </si>
  <si>
    <t>COTTON OVERSHIRT</t>
  </si>
  <si>
    <t>322612356-505-2</t>
  </si>
  <si>
    <t>PLAID OVERSHIRT</t>
  </si>
  <si>
    <t>329282612-401-2</t>
  </si>
  <si>
    <t>100% LINEN OVERSHIRT</t>
  </si>
  <si>
    <t>323216360-406-2</t>
  </si>
  <si>
    <t>POCKET DENIM OVERSHIRT</t>
  </si>
  <si>
    <t>318209963-800-2</t>
  </si>
  <si>
    <t>FAUX SUEDE OVERSHIRT</t>
  </si>
  <si>
    <t>312571093-710-2</t>
  </si>
  <si>
    <t>TEXTURED POCKET OVERSHIRT</t>
  </si>
  <si>
    <t>313027279-800-2</t>
  </si>
  <si>
    <t>OVERSHIRT</t>
  </si>
  <si>
    <t>281883711-071-2</t>
  </si>
  <si>
    <t>PAINT PRINT OVERSHIRT</t>
  </si>
  <si>
    <t>313008692-514-2</t>
  </si>
  <si>
    <t>PADDED CORDUROY OVERSHIRT</t>
  </si>
  <si>
    <t>281593208-015-2</t>
  </si>
  <si>
    <t>PLAID TIE DYE OVERSHIRT</t>
  </si>
  <si>
    <t>314937772-710-2</t>
  </si>
  <si>
    <t>OVERSHIRT WITH CONTRASTING TOPSTITCHING</t>
  </si>
  <si>
    <t>320278659-251-2</t>
  </si>
  <si>
    <t>QUILTED STRUCTURED OVERSHIRT</t>
  </si>
  <si>
    <t>321993245-500-2</t>
  </si>
  <si>
    <t>TECHNICAL OVERSHIRT</t>
  </si>
  <si>
    <t>320680326-107-39</t>
  </si>
  <si>
    <t>SUEDE FISHERMAN SANDALS</t>
  </si>
  <si>
    <t>shoes</t>
  </si>
  <si>
    <t>311292244-800-39</t>
  </si>
  <si>
    <t>ZIPPER MULTIPIECE SNEAKERS</t>
  </si>
  <si>
    <t>311307610-400-39</t>
  </si>
  <si>
    <t>SUEDE LACELESS SNEAKERS</t>
  </si>
  <si>
    <t>311302877-203-39</t>
  </si>
  <si>
    <t>MULTICOLOR SNEAKERS</t>
  </si>
  <si>
    <t>311302598-500-39</t>
  </si>
  <si>
    <t>RETRO RUNNING SNEAKERS</t>
  </si>
  <si>
    <t>311297328-800-39</t>
  </si>
  <si>
    <t>SUEDE HIGH-TOPS</t>
  </si>
  <si>
    <t>311302865-804-39</t>
  </si>
  <si>
    <t>SUEDE STRAP SANDALS</t>
  </si>
  <si>
    <t>311307489-203-39</t>
  </si>
  <si>
    <t>MULTIPIECE SNEAKERS</t>
  </si>
  <si>
    <t>311287075-120-39</t>
  </si>
  <si>
    <t>TOPSTITCH SNEAKERS</t>
  </si>
  <si>
    <t>276378605-515-39</t>
  </si>
  <si>
    <t>RETRO SNEAKERS</t>
  </si>
  <si>
    <t>277776476-700-39</t>
  </si>
  <si>
    <t>RETRO HIGH TOP SNEAKERS</t>
  </si>
  <si>
    <t>313381662-202-39</t>
  </si>
  <si>
    <t>MULTI-PIECED RETRO SNEAKERS</t>
  </si>
  <si>
    <t>311292343-700-39</t>
  </si>
  <si>
    <t>TASSEL LEATHER LOAFERS</t>
  </si>
  <si>
    <t>311309627-805-39</t>
  </si>
  <si>
    <t>MOC-TOE SUEDE BOOTS</t>
  </si>
  <si>
    <t>315851805-800-39</t>
  </si>
  <si>
    <t>STRAP SANDALS</t>
  </si>
  <si>
    <t>311292644-400-39</t>
  </si>
  <si>
    <t>SUEDE RETRO SNEAKERS</t>
  </si>
  <si>
    <t>311302552-800-39</t>
  </si>
  <si>
    <t>HIKING BOOTS</t>
  </si>
  <si>
    <t>311302532-102-39</t>
  </si>
  <si>
    <t>SUEDE SNEAKERS</t>
  </si>
  <si>
    <t>311287147-723-39</t>
  </si>
  <si>
    <t>FAUX SHEARLING LINED SUEDE BOOTS</t>
  </si>
  <si>
    <t>311307332-202-39</t>
  </si>
  <si>
    <t>CHUNKY SNEAKERS</t>
  </si>
  <si>
    <t>311282293-131-39</t>
  </si>
  <si>
    <t>DOUBLE STRAP SUEDE SANDALS</t>
  </si>
  <si>
    <t>311287149-800-39</t>
  </si>
  <si>
    <t>CHUNKY SOLE CANVAS LACE-UP BOOTS</t>
  </si>
  <si>
    <t>311307624-500-39</t>
  </si>
  <si>
    <t>SUEDE PENNY LOAFERS</t>
  </si>
  <si>
    <t>311282212-800-39</t>
  </si>
  <si>
    <t>ADHERENT STRIPES SNEAKERS</t>
  </si>
  <si>
    <t>311302515-800-39</t>
  </si>
  <si>
    <t>CHUNKY SOLE HIGH TOP SNEAKERS</t>
  </si>
  <si>
    <t>314937773-800-39</t>
  </si>
  <si>
    <t>CONTRAST SOLE LEATHER SNEAKERS</t>
  </si>
  <si>
    <t>316608794-802-39</t>
  </si>
  <si>
    <t>SUEDE RUNNING SNEAKERS</t>
  </si>
  <si>
    <t>319205037-800-39</t>
  </si>
  <si>
    <t>WOVEN LEATHER SLIDES</t>
  </si>
  <si>
    <t>336449731-712-1</t>
  </si>
  <si>
    <t>ASYMMETRIC CROPPED KNIT SWEATER</t>
  </si>
  <si>
    <t>sweaters</t>
  </si>
  <si>
    <t>WOMAN</t>
  </si>
  <si>
    <t>313890651-712-2</t>
  </si>
  <si>
    <t>KNIT SWEATER WITH PEARLS</t>
  </si>
  <si>
    <t>287414911-803-2</t>
  </si>
  <si>
    <t>HIGH COLLAR KNIT SWEATER</t>
  </si>
  <si>
    <t>342171615-104-2</t>
  </si>
  <si>
    <t>STRIPED KNIT SWEATER</t>
  </si>
  <si>
    <t>314152967-485-2</t>
  </si>
  <si>
    <t>CABLE KNIT METALLIC SWEATER</t>
  </si>
  <si>
    <t>324186867-642-2</t>
  </si>
  <si>
    <t>ASYMMETRICAL WOOL AND SILK BLEND SWEATER</t>
  </si>
  <si>
    <t>313890645-330-2</t>
  </si>
  <si>
    <t>ALPACA AND WOOL BLEND TIE DYE KNIT SWEATER</t>
  </si>
  <si>
    <t>324597432-800-2</t>
  </si>
  <si>
    <t>MOCK NECK WOOL AND SILK BLEND KNIT TOP</t>
  </si>
  <si>
    <t>313890686-731-2</t>
  </si>
  <si>
    <t>CASHMERE BLEND KNIT SWEATER</t>
  </si>
  <si>
    <t>313890650-712-2</t>
  </si>
  <si>
    <t>ALPACA BLEND OPEN KNIT SWEATER</t>
  </si>
  <si>
    <t>313890680-450-2</t>
  </si>
  <si>
    <t>OVERSIZED KNIT SWEATER</t>
  </si>
  <si>
    <t>344575855-982-2</t>
  </si>
  <si>
    <t>WOOL BLEND KNIT SWEATER</t>
  </si>
  <si>
    <t>323175653-803-2</t>
  </si>
  <si>
    <t>SOFT JEWEL SWEATER</t>
  </si>
  <si>
    <t>324814227-400-2</t>
  </si>
  <si>
    <t>FAUX FUR JEWEL SWEATER</t>
  </si>
  <si>
    <t>323218942-800-2</t>
  </si>
  <si>
    <t>METAL BEAD KNIT SWEATER</t>
  </si>
  <si>
    <t>313890656-800-2</t>
  </si>
  <si>
    <t>KNIT SWEATER WITH BUTTONS</t>
  </si>
  <si>
    <t>321480271-802-2</t>
  </si>
  <si>
    <t>JEWEL KNIT SWEATER</t>
  </si>
  <si>
    <t>311297787-806-1</t>
  </si>
  <si>
    <t>KNIT SWEATER WITH PIPING</t>
  </si>
  <si>
    <t>322677494-446-1</t>
  </si>
  <si>
    <t>FINE KNIT CROP SWEATER</t>
  </si>
  <si>
    <t>313890688-330-1</t>
  </si>
  <si>
    <t>KNIT SWEATER WITH RIPS</t>
  </si>
  <si>
    <t>322451460-800-1</t>
  </si>
  <si>
    <t>GATHERED WAIST KNIT SWEATER</t>
  </si>
  <si>
    <t>319465261-800-2</t>
  </si>
  <si>
    <t>KNIT V-NECK SWEATER</t>
  </si>
  <si>
    <t>311297400-803-1</t>
  </si>
  <si>
    <t>CONTRAST TOPSTITCHING CROP KNIT SWEATER</t>
  </si>
  <si>
    <t>336449779-104-1</t>
  </si>
  <si>
    <t>STRIPED CROP KNIT SWEATER</t>
  </si>
  <si>
    <t>324593343-043-2</t>
  </si>
  <si>
    <t>BASIC KNIT SWEATER</t>
  </si>
  <si>
    <t>319473750-809-1</t>
  </si>
  <si>
    <t>V-NECK KNIT SWEATER</t>
  </si>
  <si>
    <t>331789902-808-1</t>
  </si>
  <si>
    <t>FOIL KNIT CROP SWEATER</t>
  </si>
  <si>
    <t>300250126-401-2</t>
  </si>
  <si>
    <t>BASIC 100% WOOL SWEATER</t>
  </si>
  <si>
    <t>320052978-401-2</t>
  </si>
  <si>
    <t>COLORBLOCK KNIT CROP SWEATER</t>
  </si>
  <si>
    <t>328207551-500-2</t>
  </si>
  <si>
    <t>KNIT OPEN BACK PEARLY SWEATER</t>
  </si>
  <si>
    <t>318131967-800-2</t>
  </si>
  <si>
    <t>KNIT PEARL SWEATER</t>
  </si>
  <si>
    <t>324027512-064-2</t>
  </si>
  <si>
    <t>STRIPED TEXTURED OVERSHIRT</t>
  </si>
  <si>
    <t>311292623-712-97</t>
  </si>
  <si>
    <t>FLEECE OVERSHIRT</t>
  </si>
  <si>
    <t>324908098-800-38</t>
  </si>
  <si>
    <t>BAGGY FIT JEANS LIMITED EDITION</t>
  </si>
  <si>
    <t>jeans</t>
  </si>
  <si>
    <t>326540983-802-36</t>
  </si>
  <si>
    <t>BAGGY BELTED JEANS</t>
  </si>
  <si>
    <t>315836999-406-34</t>
  </si>
  <si>
    <t>BAGGY FIT JEANS</t>
  </si>
  <si>
    <t>312393140-406-2</t>
  </si>
  <si>
    <t>PLEATED WIDE FIT JEANS</t>
  </si>
  <si>
    <t>275600408-400-2</t>
  </si>
  <si>
    <t>DENIM SHIRT</t>
  </si>
  <si>
    <t>311303003-407-38</t>
  </si>
  <si>
    <t>RIPPED STRAIGHT FIT JEANS</t>
  </si>
  <si>
    <t>267195405-500-3</t>
  </si>
  <si>
    <t>PURL KNIT SWEATER</t>
  </si>
  <si>
    <t>315075917-803-2</t>
  </si>
  <si>
    <t>CONTRAST INTERIOR SWEATER</t>
  </si>
  <si>
    <t>317889153-700-3</t>
  </si>
  <si>
    <t>ABSTRACT JACQUARD SWEATER</t>
  </si>
  <si>
    <t>315241755-800-2</t>
  </si>
  <si>
    <t>BASIC SLIM FIT T-SHIRT</t>
  </si>
  <si>
    <t>t-shirts</t>
  </si>
  <si>
    <t>320326523-707-2</t>
  </si>
  <si>
    <t>CROPPED WASHED T-SHIRT</t>
  </si>
  <si>
    <t>316715458-250-2</t>
  </si>
  <si>
    <t>BASIC HEAVYWEIGHT T-SHIRT</t>
  </si>
  <si>
    <t>322677489-800-2</t>
  </si>
  <si>
    <t>HEART PRINT T-SHIRT</t>
  </si>
  <si>
    <t>330077856-251-2</t>
  </si>
  <si>
    <t>TEXT T-SHIRT</t>
  </si>
  <si>
    <t>328232452-898-2</t>
  </si>
  <si>
    <t>PRINTED CROPPED FIT SHIRT LIMITED EDITION</t>
  </si>
  <si>
    <t>317230892-251-3</t>
  </si>
  <si>
    <t>RIBBED KNIT T-SHIRT</t>
  </si>
  <si>
    <t>330478123-712-2</t>
  </si>
  <si>
    <t>OVERSIZE FIT T-SHIRT</t>
  </si>
  <si>
    <t>318255748-250-2</t>
  </si>
  <si>
    <t>BASIC MEDIUM WEIGHT T-SHIRT</t>
  </si>
  <si>
    <t>319334069-712-2</t>
  </si>
  <si>
    <t>STRUCTURED TEXT T-SHIRT</t>
  </si>
  <si>
    <t>311307261-712-2</t>
  </si>
  <si>
    <t>ABSTRACT PRINT T-SHIRT</t>
  </si>
  <si>
    <t>323216369-922-2</t>
  </si>
  <si>
    <t>RAISED TEXT T-SHIRT LIMITED EDITION</t>
  </si>
  <si>
    <t>311297550-251-2</t>
  </si>
  <si>
    <t>VISCOSE BLEND KNIT T-SHIRT</t>
  </si>
  <si>
    <t>322909502-819-2</t>
  </si>
  <si>
    <t>STRIPED JACQUARD T-SHIRT</t>
  </si>
  <si>
    <t>320071210-802-2</t>
  </si>
  <si>
    <t>ABSTRACT PRINT KNIT T-SHIRT</t>
  </si>
  <si>
    <t>Row Labels</t>
  </si>
  <si>
    <t>Sum of Sales Volume</t>
  </si>
  <si>
    <t>Prod. Name</t>
  </si>
  <si>
    <t>Rank</t>
  </si>
  <si>
    <t>Column Labels</t>
  </si>
  <si>
    <t/>
  </si>
  <si>
    <t>08</t>
  </si>
  <si>
    <t>09</t>
  </si>
  <si>
    <t>:50</t>
  </si>
  <si>
    <t>:51</t>
  </si>
  <si>
    <t>:54</t>
  </si>
  <si>
    <t>:56</t>
  </si>
  <si>
    <t>:00</t>
  </si>
  <si>
    <t>:10</t>
  </si>
  <si>
    <t>Non-seasonal</t>
  </si>
  <si>
    <t>Non-promotional</t>
  </si>
  <si>
    <t>Promotional</t>
  </si>
  <si>
    <t>Revenue</t>
  </si>
  <si>
    <t>272145190-250-2</t>
  </si>
  <si>
    <t>Sum of Revenue</t>
  </si>
  <si>
    <t>Average of Sales Volume</t>
  </si>
  <si>
    <t>AVG_price</t>
  </si>
  <si>
    <t>Percentage of grand Total</t>
  </si>
  <si>
    <t>%  of GT</t>
  </si>
  <si>
    <t>Zara Sales Analytics Dashboard</t>
  </si>
  <si>
    <t>total Revenue</t>
  </si>
  <si>
    <t>total sales</t>
  </si>
  <si>
    <t>Numbers  of Categories</t>
  </si>
  <si>
    <t>Sales Volume by Store location</t>
  </si>
  <si>
    <t xml:space="preserve">                                                                </t>
  </si>
  <si>
    <t>Revenue Structure
Total revenue amounts to $28.01M generated from 31,473 transactions.
The average revenue per transaction is approximately $890.</t>
  </si>
  <si>
    <t>Revenue Concentration by Category
The Jackets category accounts for approximately 60–65% of total revenue.
Revenue from Jackets is more than 5 times higher than the second-largest category.
The remaini four categories together contribute around 35–40% of total revenue.
➡ Revenue is highly concentrated in one dominant category.</t>
  </si>
  <si>
    <t>op Products (Volume Analysis)
The top 10 products generate between 2,863 and 2,989 units each
The difference between rank #1 and rank #10 is only 126 units (~4%), indicating a relatively balanced top-tier performance.
The best-selling product represents approximately 9–10% of total sales volume.</t>
  </si>
  <si>
    <t>Seasonality
Peak periods show sales levels approximately 6–8% higher than off-peak periods.
Seasonality has a moderate impact and does not cause extreme volatility.</t>
  </si>
  <si>
    <t>Promotional Impact
Promotional products show higher sales volume compared to non-promotional products.
The uplift in volume is approximately 3–6% in favor of promotional sales.
Promotions positively impact volume, but margin impact should be further analyzed.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</si>
</sst>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09]#,##0.00"/>
  </numFmts>
  <fonts count="5" x14ac:knownFonts="1">
    <font>
      <sz val="11"/>
      <color theme="1"/>
      <name val="Aptos Narrow"/>
      <family val="2"/>
      <charset val="238"/>
      <scheme val="minor"/>
    </font>
    <font>
      <sz val="28"/>
      <name val="Aptos Narrow"/>
      <family val="2"/>
      <charset val="238"/>
      <scheme val="minor"/>
    </font>
    <font>
      <sz val="18"/>
      <color theme="1"/>
      <name val="Aptos Narrow"/>
      <family val="2"/>
      <charset val="238"/>
      <scheme val="minor"/>
    </font>
    <font>
      <b/>
      <sz val="12"/>
      <color theme="1"/>
      <name val="Aptos Narrow"/>
      <family val="2"/>
      <charset val="238"/>
      <scheme val="minor"/>
    </font>
    <font>
      <sz val="12"/>
      <color theme="1"/>
      <name val="Aptos Narrow"/>
      <family val="2"/>
      <charset val="23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2">
    <xf numFmtId="0" fontId="0" fillId="0" borderId="0" xfId="0"/>
    <xf numFmtId="14" fontId="0" fillId="0" borderId="0" xfId="0" applyNumberFormat="1"/>
    <xf numFmtId="16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applyAlignment="1">
      <alignment horizontal="left" indent="1"/>
    </xf>
    <xf numFmtId="0" fontId="1" fillId="2" borderId="0" xfId="0" applyFont="1" applyFill="1"/>
    <xf numFmtId="10" fontId="0" fillId="0" borderId="0" xfId="0" applyNumberFormat="1"/>
    <xf numFmtId="0" fontId="2" fillId="0" borderId="0" xfId="0" applyFont="1" applyAlignment="1">
      <alignment horizontal="center" vertical="center"/>
    </xf>
    <xf numFmtId="0" fontId="2" fillId="0" borderId="0" xfId="0" applyFont="1" applyAlignment="1">
      <alignment horizontal="center" vertical="center" wrapText="1"/>
    </xf>
    <xf numFmtId="165" fontId="2" fillId="0" borderId="0" xfId="0" applyNumberFormat="1" applyFont="1" applyAlignment="1">
      <alignment horizontal="center" vertical="center"/>
    </xf>
    <xf numFmtId="1" fontId="2" fillId="0" borderId="0" xfId="0" applyNumberFormat="1" applyFont="1"/>
    <xf numFmtId="1" fontId="2" fillId="0" borderId="0" xfId="0" applyNumberFormat="1" applyFont="1" applyAlignment="1">
      <alignment horizontal="center" vertical="center"/>
    </xf>
    <xf numFmtId="0" fontId="2" fillId="0" borderId="0" xfId="0" pivotButton="1" applyFont="1" applyAlignment="1">
      <alignment horizontal="center" vertical="center"/>
    </xf>
    <xf numFmtId="0" fontId="2" fillId="0" borderId="0" xfId="0" applyFont="1" applyAlignment="1">
      <alignment horizontal="left"/>
    </xf>
    <xf numFmtId="10" fontId="2" fillId="0" borderId="0" xfId="0" applyNumberFormat="1" applyFont="1"/>
    <xf numFmtId="0" fontId="3" fillId="0" borderId="0" xfId="0" applyFont="1" applyAlignment="1">
      <alignment vertical="center" wrapText="1"/>
    </xf>
    <xf numFmtId="0" fontId="4" fillId="0" borderId="0" xfId="0" applyFont="1"/>
    <xf numFmtId="0" fontId="0" fillId="0" borderId="0" xfId="0" applyNumberFormat="1"/>
  </cellXfs>
  <cellStyles count="1">
    <cellStyle name="Normal" xfId="0" builtinId="0"/>
  </cellStyles>
  <dxfs count="71">
    <dxf>
      <alignment wrapText="1"/>
    </dxf>
    <dxf>
      <alignment vertical="center"/>
    </dxf>
    <dxf>
      <alignment vertical="center"/>
    </dxf>
    <dxf>
      <alignment horizontal="center"/>
    </dxf>
    <dxf>
      <alignment horizontal="center"/>
    </dxf>
    <dxf>
      <font>
        <sz val="18"/>
      </font>
    </dxf>
    <dxf>
      <font>
        <sz val="18"/>
      </font>
    </dxf>
    <dxf>
      <font>
        <sz val="18"/>
      </font>
    </dxf>
    <dxf>
      <font>
        <sz val="18"/>
      </font>
    </dxf>
    <dxf>
      <font>
        <sz val="18"/>
      </font>
    </dxf>
    <dxf>
      <alignment wrapText="1"/>
    </dxf>
    <dxf>
      <alignment vertical="center"/>
    </dxf>
    <dxf>
      <alignment vertical="center"/>
    </dxf>
    <dxf>
      <alignment horizontal="center"/>
    </dxf>
    <dxf>
      <alignment horizontal="center"/>
    </dxf>
    <dxf>
      <font>
        <sz val="18"/>
      </font>
    </dxf>
    <dxf>
      <font>
        <sz val="18"/>
      </font>
    </dxf>
    <dxf>
      <font>
        <sz val="18"/>
      </font>
    </dxf>
    <dxf>
      <font>
        <sz val="18"/>
      </font>
    </dxf>
    <dxf>
      <font>
        <sz val="18"/>
      </font>
    </dxf>
    <dxf>
      <alignment wrapText="1"/>
    </dxf>
    <dxf>
      <alignment vertical="center"/>
    </dxf>
    <dxf>
      <alignment vertical="center"/>
    </dxf>
    <dxf>
      <alignment horizontal="center"/>
    </dxf>
    <dxf>
      <alignment horizontal="center"/>
    </dxf>
    <dxf>
      <font>
        <sz val="18"/>
      </font>
    </dxf>
    <dxf>
      <font>
        <sz val="18"/>
      </font>
    </dxf>
    <dxf>
      <font>
        <sz val="18"/>
      </font>
    </dxf>
    <dxf>
      <font>
        <sz val="18"/>
      </font>
    </dxf>
    <dxf>
      <font>
        <sz val="18"/>
      </font>
    </dxf>
    <dxf>
      <alignment wrapText="1"/>
    </dxf>
    <dxf>
      <alignment vertical="center"/>
    </dxf>
    <dxf>
      <alignment vertical="center"/>
    </dxf>
    <dxf>
      <alignment horizontal="center"/>
    </dxf>
    <dxf>
      <alignment horizontal="center"/>
    </dxf>
    <dxf>
      <font>
        <sz val="18"/>
      </font>
    </dxf>
    <dxf>
      <font>
        <sz val="18"/>
      </font>
    </dxf>
    <dxf>
      <font>
        <sz val="18"/>
      </font>
    </dxf>
    <dxf>
      <font>
        <sz val="18"/>
      </font>
    </dxf>
    <dxf>
      <font>
        <sz val="18"/>
      </font>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2" formatCode="0.0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font>
        <strike val="0"/>
        <outline val="0"/>
        <shadow val="0"/>
        <u val="none"/>
        <vertAlign val="baseline"/>
        <sz val="18"/>
        <color theme="1"/>
        <name val="Aptos Narrow"/>
        <family val="2"/>
        <charset val="238"/>
        <scheme val="minor"/>
      </font>
      <alignment horizontal="center" vertical="center" textRotation="0" indent="0" justifyLastLine="0" shrinkToFit="0" readingOrder="0"/>
    </dxf>
    <dxf>
      <font>
        <strike val="0"/>
        <outline val="0"/>
        <shadow val="0"/>
        <u val="none"/>
        <vertAlign val="baseline"/>
        <sz val="18"/>
        <color theme="1"/>
        <name val="Aptos Narrow"/>
        <family val="2"/>
        <charset val="238"/>
        <scheme val="minor"/>
      </font>
      <alignment horizontal="center" vertical="center" textRotation="0" indent="0" justifyLastLine="0" shrinkToFit="0" readingOrder="0"/>
    </dxf>
    <dxf>
      <font>
        <strike val="0"/>
        <outline val="0"/>
        <shadow val="0"/>
        <u val="none"/>
        <vertAlign val="baseline"/>
        <sz val="18"/>
        <color theme="1"/>
        <name val="Aptos Narrow"/>
        <family val="2"/>
        <charset val="238"/>
        <scheme val="minor"/>
      </font>
      <alignment horizontal="center" vertical="center" textRotation="0" wrapText="1" indent="0" justifyLastLine="0" shrinkToFit="0" readingOrder="0"/>
    </dxf>
    <dxf>
      <font>
        <strike val="0"/>
        <outline val="0"/>
        <shadow val="0"/>
        <u val="none"/>
        <vertAlign val="baseline"/>
        <sz val="18"/>
        <color theme="1"/>
        <name val="Aptos Narrow"/>
        <family val="2"/>
        <charset val="238"/>
        <scheme val="minor"/>
      </font>
      <alignment horizontal="center" vertical="center" textRotation="0" indent="0" justifyLastLine="0" shrinkToFit="0" readingOrder="0"/>
    </dxf>
    <dxf>
      <font>
        <strike val="0"/>
        <outline val="0"/>
        <shadow val="0"/>
        <u val="none"/>
        <vertAlign val="baseline"/>
        <sz val="18"/>
        <color theme="1"/>
        <name val="Aptos Narrow"/>
        <family val="2"/>
        <charset val="238"/>
        <scheme val="minor"/>
      </font>
      <alignment horizontal="center" vertical="center" textRotation="0" indent="0" justifyLastLine="0" shrinkToFit="0" readingOrder="0"/>
    </dxf>
    <dxf>
      <font>
        <sz val="18"/>
      </font>
    </dxf>
    <dxf>
      <font>
        <sz val="18"/>
      </font>
    </dxf>
    <dxf>
      <font>
        <sz val="18"/>
      </font>
    </dxf>
    <dxf>
      <font>
        <sz val="18"/>
      </font>
    </dxf>
    <dxf>
      <font>
        <sz val="18"/>
      </font>
    </dxf>
    <dxf>
      <alignment horizontal="center"/>
    </dxf>
    <dxf>
      <alignment horizontal="center"/>
    </dxf>
    <dxf>
      <alignment vertical="center"/>
    </dxf>
    <dxf>
      <alignment vertical="cent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[Zara-data.xlsx]Sheet2!PivotTable2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seasonal / non-seasonal  sales volume in time</a:t>
            </a:r>
          </a:p>
          <a:p>
            <a:pPr>
              <a:defRPr/>
            </a:pPr>
            <a:endParaRPr lang="pl-PL"/>
          </a:p>
        </c:rich>
      </c:tx>
      <c:layout>
        <c:manualLayout>
          <c:xMode val="edge"/>
          <c:yMode val="edge"/>
          <c:x val="0.3285122375003316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pivotFmt>
      <c:pivotFmt>
        <c:idx val="201"/>
        <c:spPr>
          <a:solidFill>
            <a:schemeClr val="accent1"/>
          </a:solidFill>
          <a:ln w="28575" cap="rnd">
            <a:solidFill>
              <a:schemeClr val="accent1"/>
            </a:solidFill>
            <a:round/>
          </a:ln>
          <a:effectLst/>
        </c:spPr>
        <c:marker>
          <c:symbol val="none"/>
        </c:marker>
      </c:pivotFmt>
      <c:pivotFmt>
        <c:idx val="202"/>
        <c:spPr>
          <a:solidFill>
            <a:schemeClr val="accent1"/>
          </a:solidFill>
          <a:ln w="28575" cap="rnd">
            <a:solidFill>
              <a:schemeClr val="accent1"/>
            </a:solidFill>
            <a:round/>
          </a:ln>
          <a:effectLst/>
        </c:spPr>
        <c:marker>
          <c:symbol val="none"/>
        </c:marker>
      </c:pivotFmt>
      <c:pivotFmt>
        <c:idx val="203"/>
        <c:spPr>
          <a:solidFill>
            <a:schemeClr val="accent1"/>
          </a:solidFill>
          <a:ln w="28575" cap="rnd">
            <a:solidFill>
              <a:schemeClr val="accent1"/>
            </a:solidFill>
            <a:round/>
          </a:ln>
          <a:effectLst/>
        </c:spPr>
        <c:marker>
          <c:symbol val="none"/>
        </c:marker>
      </c:pivotFmt>
      <c:pivotFmt>
        <c:idx val="204"/>
        <c:spPr>
          <a:solidFill>
            <a:schemeClr val="accent1"/>
          </a:solidFill>
          <a:ln w="28575" cap="rnd">
            <a:solidFill>
              <a:schemeClr val="accent1"/>
            </a:solidFill>
            <a:round/>
          </a:ln>
          <a:effectLst/>
        </c:spPr>
        <c:marker>
          <c:symbol val="none"/>
        </c:marker>
      </c:pivotFmt>
      <c:pivotFmt>
        <c:idx val="205"/>
        <c:spPr>
          <a:solidFill>
            <a:schemeClr val="accent1"/>
          </a:solidFill>
          <a:ln w="28575" cap="rnd">
            <a:solidFill>
              <a:schemeClr val="accent1"/>
            </a:solidFill>
            <a:round/>
          </a:ln>
          <a:effectLst/>
        </c:spPr>
        <c:marker>
          <c:symbol val="none"/>
        </c:marker>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pivotFmt>
      <c:pivotFmt>
        <c:idx val="257"/>
        <c:spPr>
          <a:solidFill>
            <a:schemeClr val="accent1"/>
          </a:solidFill>
          <a:ln w="28575" cap="rnd">
            <a:solidFill>
              <a:schemeClr val="accent1"/>
            </a:solidFill>
            <a:round/>
          </a:ln>
          <a:effectLst/>
        </c:spPr>
        <c:marker>
          <c:symbol val="none"/>
        </c:marker>
      </c:pivotFmt>
      <c:pivotFmt>
        <c:idx val="258"/>
        <c:spPr>
          <a:solidFill>
            <a:schemeClr val="accent1"/>
          </a:solidFill>
          <a:ln w="28575" cap="rnd">
            <a:solidFill>
              <a:schemeClr val="accent1"/>
            </a:solidFill>
            <a:round/>
          </a:ln>
          <a:effectLst/>
        </c:spPr>
        <c:marker>
          <c:symbol val="none"/>
        </c:marker>
      </c:pivotFmt>
      <c:pivotFmt>
        <c:idx val="259"/>
        <c:spPr>
          <a:solidFill>
            <a:schemeClr val="accent1"/>
          </a:solidFill>
          <a:ln w="28575" cap="rnd">
            <a:solidFill>
              <a:schemeClr val="accent1"/>
            </a:solidFill>
            <a:round/>
          </a:ln>
          <a:effectLst/>
        </c:spPr>
        <c:marker>
          <c:symbol val="none"/>
        </c:marker>
      </c:pivotFmt>
      <c:pivotFmt>
        <c:idx val="260"/>
        <c:spPr>
          <a:solidFill>
            <a:schemeClr val="accent1"/>
          </a:solidFill>
          <a:ln w="28575" cap="rnd">
            <a:solidFill>
              <a:schemeClr val="accent1"/>
            </a:solidFill>
            <a:round/>
          </a:ln>
          <a:effectLst/>
        </c:spPr>
        <c:marker>
          <c:symbol val="none"/>
        </c:marker>
      </c:pivotFmt>
      <c:pivotFmt>
        <c:idx val="261"/>
        <c:spPr>
          <a:solidFill>
            <a:schemeClr val="accent1"/>
          </a:solidFill>
          <a:ln w="28575" cap="rnd">
            <a:solidFill>
              <a:schemeClr val="accent1"/>
            </a:solidFill>
            <a:round/>
          </a:ln>
          <a:effectLst/>
        </c:spPr>
        <c:marker>
          <c:symbol val="none"/>
        </c:marker>
      </c:pivotFmt>
      <c:pivotFmt>
        <c:idx val="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9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0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2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3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w="28575" cap="rnd">
            <a:solidFill>
              <a:schemeClr val="accent1"/>
            </a:solidFill>
            <a:round/>
          </a:ln>
          <a:effectLst/>
        </c:spPr>
        <c:marker>
          <c:symbol val="none"/>
        </c:marker>
      </c:pivotFmt>
      <c:pivotFmt>
        <c:idx val="5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w="28575" cap="rnd">
            <a:solidFill>
              <a:schemeClr val="accent1"/>
            </a:solidFill>
            <a:round/>
          </a:ln>
          <a:effectLst/>
        </c:spPr>
        <c:marker>
          <c:symbol val="none"/>
        </c:marker>
      </c:pivotFmt>
      <c:pivotFmt>
        <c:idx val="584"/>
        <c:spPr>
          <a:solidFill>
            <a:schemeClr val="accent1"/>
          </a:solidFill>
          <a:ln w="28575" cap="rnd">
            <a:solidFill>
              <a:schemeClr val="accent1"/>
            </a:solidFill>
            <a:round/>
          </a:ln>
          <a:effectLst/>
        </c:spPr>
        <c:marker>
          <c:symbol val="none"/>
        </c:marker>
      </c:pivotFmt>
      <c:pivotFmt>
        <c:idx val="585"/>
        <c:spPr>
          <a:solidFill>
            <a:schemeClr val="accent1"/>
          </a:solidFill>
          <a:ln w="28575" cap="rnd">
            <a:solidFill>
              <a:schemeClr val="accent1"/>
            </a:solidFill>
            <a:round/>
          </a:ln>
          <a:effectLst/>
        </c:spPr>
        <c:marker>
          <c:symbol val="none"/>
        </c:marker>
      </c:pivotFmt>
      <c:pivotFmt>
        <c:idx val="5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7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71"/>
        <c:spPr>
          <a:solidFill>
            <a:schemeClr val="accent1"/>
          </a:solidFill>
          <a:ln w="28575" cap="rnd">
            <a:solidFill>
              <a:schemeClr val="accent1"/>
            </a:solidFill>
            <a:round/>
          </a:ln>
          <a:effectLst/>
        </c:spPr>
        <c:marker>
          <c:symbol val="none"/>
        </c:marker>
      </c:pivotFmt>
      <c:pivotFmt>
        <c:idx val="772"/>
        <c:spPr>
          <a:solidFill>
            <a:schemeClr val="accent1"/>
          </a:solidFill>
          <a:ln w="28575" cap="rnd">
            <a:solidFill>
              <a:schemeClr val="accent1"/>
            </a:solidFill>
            <a:round/>
          </a:ln>
          <a:effectLst/>
        </c:spPr>
        <c:marker>
          <c:symbol val="none"/>
        </c:marker>
      </c:pivotFmt>
      <c:pivotFmt>
        <c:idx val="773"/>
        <c:spPr>
          <a:solidFill>
            <a:schemeClr val="accent1"/>
          </a:solidFill>
          <a:ln w="28575" cap="rnd">
            <a:solidFill>
              <a:schemeClr val="accent1"/>
            </a:solidFill>
            <a:round/>
          </a:ln>
          <a:effectLst/>
        </c:spPr>
        <c:marker>
          <c:symbol val="none"/>
        </c:marker>
      </c:pivotFmt>
      <c:pivotFmt>
        <c:idx val="774"/>
        <c:spPr>
          <a:solidFill>
            <a:schemeClr val="accent1"/>
          </a:solidFill>
          <a:ln w="28575" cap="rnd">
            <a:solidFill>
              <a:schemeClr val="accent1"/>
            </a:solidFill>
            <a:round/>
          </a:ln>
          <a:effectLst/>
        </c:spPr>
        <c:marker>
          <c:symbol val="none"/>
        </c:marker>
      </c:pivotFmt>
      <c:pivotFmt>
        <c:idx val="775"/>
        <c:spPr>
          <a:solidFill>
            <a:schemeClr val="accent1"/>
          </a:solidFill>
          <a:ln w="28575" cap="rnd">
            <a:solidFill>
              <a:schemeClr val="accent1"/>
            </a:solidFill>
            <a:round/>
          </a:ln>
          <a:effectLst/>
        </c:spPr>
        <c:marker>
          <c:symbol val="none"/>
        </c:marker>
      </c:pivotFmt>
      <c:pivotFmt>
        <c:idx val="776"/>
        <c:spPr>
          <a:solidFill>
            <a:schemeClr val="accent1"/>
          </a:solidFill>
          <a:ln w="28575" cap="rnd">
            <a:solidFill>
              <a:schemeClr val="accent1"/>
            </a:solidFill>
            <a:round/>
          </a:ln>
          <a:effectLst/>
        </c:spPr>
        <c:marker>
          <c:symbol val="none"/>
        </c:marker>
      </c:pivotFmt>
      <c:pivotFmt>
        <c:idx val="777"/>
        <c:spPr>
          <a:solidFill>
            <a:schemeClr val="accent1"/>
          </a:solidFill>
          <a:ln w="28575" cap="rnd">
            <a:solidFill>
              <a:schemeClr val="accent1"/>
            </a:solidFill>
            <a:round/>
          </a:ln>
          <a:effectLst/>
        </c:spPr>
        <c:marker>
          <c:symbol val="none"/>
        </c:marker>
      </c:pivotFmt>
      <c:pivotFmt>
        <c:idx val="778"/>
        <c:spPr>
          <a:solidFill>
            <a:schemeClr val="accent1"/>
          </a:solidFill>
          <a:ln w="28575" cap="rnd">
            <a:solidFill>
              <a:schemeClr val="accent1"/>
            </a:solidFill>
            <a:round/>
          </a:ln>
          <a:effectLst/>
        </c:spPr>
        <c:marker>
          <c:symbol val="none"/>
        </c:marker>
      </c:pivotFmt>
      <c:pivotFmt>
        <c:idx val="779"/>
        <c:spPr>
          <a:solidFill>
            <a:schemeClr val="accent1"/>
          </a:solidFill>
          <a:ln w="28575" cap="rnd">
            <a:solidFill>
              <a:schemeClr val="accent1"/>
            </a:solidFill>
            <a:round/>
          </a:ln>
          <a:effectLst/>
        </c:spPr>
        <c:marker>
          <c:symbol val="none"/>
        </c:marker>
      </c:pivotFmt>
      <c:pivotFmt>
        <c:idx val="780"/>
        <c:spPr>
          <a:solidFill>
            <a:schemeClr val="accent1"/>
          </a:solidFill>
          <a:ln w="28575" cap="rnd">
            <a:solidFill>
              <a:schemeClr val="accent1"/>
            </a:solidFill>
            <a:round/>
          </a:ln>
          <a:effectLst/>
        </c:spPr>
        <c:marker>
          <c:symbol val="none"/>
        </c:marker>
      </c:pivotFmt>
      <c:pivotFmt>
        <c:idx val="781"/>
        <c:spPr>
          <a:solidFill>
            <a:schemeClr val="accent1"/>
          </a:solidFill>
          <a:ln w="28575" cap="rnd">
            <a:solidFill>
              <a:schemeClr val="accent1"/>
            </a:solidFill>
            <a:round/>
          </a:ln>
          <a:effectLst/>
        </c:spPr>
        <c:marker>
          <c:symbol val="none"/>
        </c:marker>
      </c:pivotFmt>
      <c:pivotFmt>
        <c:idx val="782"/>
        <c:spPr>
          <a:solidFill>
            <a:schemeClr val="accent1"/>
          </a:solidFill>
          <a:ln w="28575" cap="rnd">
            <a:solidFill>
              <a:schemeClr val="accent1"/>
            </a:solidFill>
            <a:round/>
          </a:ln>
          <a:effectLst/>
        </c:spPr>
        <c:marker>
          <c:symbol val="none"/>
        </c:marker>
      </c:pivotFmt>
      <c:pivotFmt>
        <c:idx val="783"/>
        <c:spPr>
          <a:solidFill>
            <a:schemeClr val="accent1"/>
          </a:solidFill>
          <a:ln w="28575" cap="rnd">
            <a:solidFill>
              <a:schemeClr val="accent1"/>
            </a:solidFill>
            <a:round/>
          </a:ln>
          <a:effectLst/>
        </c:spPr>
        <c:marker>
          <c:symbol val="none"/>
        </c:marker>
      </c:pivotFmt>
      <c:pivotFmt>
        <c:idx val="784"/>
        <c:spPr>
          <a:solidFill>
            <a:schemeClr val="accent1"/>
          </a:solidFill>
          <a:ln w="28575" cap="rnd">
            <a:solidFill>
              <a:schemeClr val="accent1"/>
            </a:solidFill>
            <a:round/>
          </a:ln>
          <a:effectLst/>
        </c:spPr>
        <c:marker>
          <c:symbol val="none"/>
        </c:marker>
      </c:pivotFmt>
      <c:pivotFmt>
        <c:idx val="785"/>
        <c:spPr>
          <a:solidFill>
            <a:schemeClr val="accent1"/>
          </a:solidFill>
          <a:ln w="28575" cap="rnd">
            <a:solidFill>
              <a:schemeClr val="accent1"/>
            </a:solidFill>
            <a:round/>
          </a:ln>
          <a:effectLst/>
        </c:spPr>
        <c:marker>
          <c:symbol val="none"/>
        </c:marker>
      </c:pivotFmt>
      <c:pivotFmt>
        <c:idx val="786"/>
        <c:spPr>
          <a:solidFill>
            <a:schemeClr val="accent1"/>
          </a:solidFill>
          <a:ln w="28575" cap="rnd">
            <a:solidFill>
              <a:schemeClr val="accent1"/>
            </a:solidFill>
            <a:round/>
          </a:ln>
          <a:effectLst/>
        </c:spPr>
        <c:marker>
          <c:symbol val="none"/>
        </c:marker>
      </c:pivotFmt>
      <c:pivotFmt>
        <c:idx val="787"/>
        <c:spPr>
          <a:solidFill>
            <a:schemeClr val="accent1"/>
          </a:solidFill>
          <a:ln w="28575" cap="rnd">
            <a:solidFill>
              <a:schemeClr val="accent1"/>
            </a:solidFill>
            <a:round/>
          </a:ln>
          <a:effectLst/>
        </c:spPr>
        <c:marker>
          <c:symbol val="none"/>
        </c:marker>
      </c:pivotFmt>
      <c:pivotFmt>
        <c:idx val="788"/>
        <c:spPr>
          <a:solidFill>
            <a:schemeClr val="accent1"/>
          </a:solidFill>
          <a:ln w="28575" cap="rnd">
            <a:solidFill>
              <a:schemeClr val="accent1"/>
            </a:solidFill>
            <a:round/>
          </a:ln>
          <a:effectLst/>
        </c:spPr>
        <c:marker>
          <c:symbol val="none"/>
        </c:marker>
      </c:pivotFmt>
      <c:pivotFmt>
        <c:idx val="789"/>
        <c:spPr>
          <a:solidFill>
            <a:schemeClr val="accent1"/>
          </a:solidFill>
          <a:ln w="28575" cap="rnd">
            <a:solidFill>
              <a:schemeClr val="accent1"/>
            </a:solidFill>
            <a:round/>
          </a:ln>
          <a:effectLst/>
        </c:spPr>
        <c:marker>
          <c:symbol val="none"/>
        </c:marker>
      </c:pivotFmt>
      <c:pivotFmt>
        <c:idx val="790"/>
        <c:spPr>
          <a:solidFill>
            <a:schemeClr val="accent1"/>
          </a:solidFill>
          <a:ln w="28575" cap="rnd">
            <a:solidFill>
              <a:schemeClr val="accent1"/>
            </a:solidFill>
            <a:round/>
          </a:ln>
          <a:effectLst/>
        </c:spPr>
        <c:marker>
          <c:symbol val="none"/>
        </c:marker>
      </c:pivotFmt>
      <c:pivotFmt>
        <c:idx val="791"/>
        <c:spPr>
          <a:solidFill>
            <a:schemeClr val="accent1"/>
          </a:solidFill>
          <a:ln w="28575" cap="rnd">
            <a:solidFill>
              <a:schemeClr val="accent1"/>
            </a:solidFill>
            <a:round/>
          </a:ln>
          <a:effectLst/>
        </c:spPr>
        <c:marker>
          <c:symbol val="none"/>
        </c:marker>
      </c:pivotFmt>
      <c:pivotFmt>
        <c:idx val="792"/>
        <c:spPr>
          <a:solidFill>
            <a:schemeClr val="accent1"/>
          </a:solidFill>
          <a:ln w="28575" cap="rnd">
            <a:solidFill>
              <a:schemeClr val="accent1"/>
            </a:solidFill>
            <a:round/>
          </a:ln>
          <a:effectLst/>
        </c:spPr>
        <c:marker>
          <c:symbol val="none"/>
        </c:marker>
      </c:pivotFmt>
      <c:pivotFmt>
        <c:idx val="793"/>
        <c:spPr>
          <a:solidFill>
            <a:schemeClr val="accent1"/>
          </a:solidFill>
          <a:ln w="28575" cap="rnd">
            <a:solidFill>
              <a:schemeClr val="accent1"/>
            </a:solidFill>
            <a:round/>
          </a:ln>
          <a:effectLst/>
        </c:spPr>
        <c:marker>
          <c:symbol val="none"/>
        </c:marker>
      </c:pivotFmt>
      <c:pivotFmt>
        <c:idx val="794"/>
        <c:spPr>
          <a:solidFill>
            <a:schemeClr val="accent1"/>
          </a:solidFill>
          <a:ln w="28575" cap="rnd">
            <a:solidFill>
              <a:schemeClr val="accent1"/>
            </a:solidFill>
            <a:round/>
          </a:ln>
          <a:effectLst/>
        </c:spPr>
        <c:marker>
          <c:symbol val="none"/>
        </c:marker>
      </c:pivotFmt>
      <c:pivotFmt>
        <c:idx val="795"/>
        <c:spPr>
          <a:solidFill>
            <a:schemeClr val="accent1"/>
          </a:solidFill>
          <a:ln w="28575" cap="rnd">
            <a:solidFill>
              <a:schemeClr val="accent1"/>
            </a:solidFill>
            <a:round/>
          </a:ln>
          <a:effectLst/>
        </c:spPr>
        <c:marker>
          <c:symbol val="none"/>
        </c:marker>
      </c:pivotFmt>
      <c:pivotFmt>
        <c:idx val="796"/>
        <c:spPr>
          <a:solidFill>
            <a:schemeClr val="accent1"/>
          </a:solidFill>
          <a:ln w="28575" cap="rnd">
            <a:solidFill>
              <a:schemeClr val="accent1"/>
            </a:solidFill>
            <a:round/>
          </a:ln>
          <a:effectLst/>
        </c:spPr>
        <c:marker>
          <c:symbol val="none"/>
        </c:marker>
      </c:pivotFmt>
      <c:pivotFmt>
        <c:idx val="797"/>
        <c:spPr>
          <a:solidFill>
            <a:schemeClr val="accent1"/>
          </a:solidFill>
          <a:ln w="28575" cap="rnd">
            <a:solidFill>
              <a:schemeClr val="accent1"/>
            </a:solidFill>
            <a:round/>
          </a:ln>
          <a:effectLst/>
        </c:spPr>
        <c:marker>
          <c:symbol val="none"/>
        </c:marker>
      </c:pivotFmt>
      <c:pivotFmt>
        <c:idx val="798"/>
        <c:spPr>
          <a:solidFill>
            <a:schemeClr val="accent1"/>
          </a:solidFill>
          <a:ln w="28575" cap="rnd">
            <a:solidFill>
              <a:schemeClr val="accent1"/>
            </a:solidFill>
            <a:round/>
          </a:ln>
          <a:effectLst/>
        </c:spPr>
        <c:marker>
          <c:symbol val="none"/>
        </c:marker>
      </c:pivotFmt>
      <c:pivotFmt>
        <c:idx val="799"/>
        <c:spPr>
          <a:solidFill>
            <a:schemeClr val="accent1"/>
          </a:solidFill>
          <a:ln w="28575" cap="rnd">
            <a:solidFill>
              <a:schemeClr val="accent1"/>
            </a:solidFill>
            <a:round/>
          </a:ln>
          <a:effectLst/>
        </c:spPr>
        <c:marker>
          <c:symbol val="none"/>
        </c:marker>
      </c:pivotFmt>
      <c:pivotFmt>
        <c:idx val="800"/>
        <c:spPr>
          <a:solidFill>
            <a:schemeClr val="accent1"/>
          </a:solidFill>
          <a:ln w="28575" cap="rnd">
            <a:solidFill>
              <a:schemeClr val="accent1"/>
            </a:solidFill>
            <a:round/>
          </a:ln>
          <a:effectLst/>
        </c:spPr>
        <c:marker>
          <c:symbol val="none"/>
        </c:marker>
      </c:pivotFmt>
      <c:pivotFmt>
        <c:idx val="801"/>
        <c:spPr>
          <a:solidFill>
            <a:schemeClr val="accent1"/>
          </a:solidFill>
          <a:ln w="28575" cap="rnd">
            <a:solidFill>
              <a:schemeClr val="accent1"/>
            </a:solidFill>
            <a:round/>
          </a:ln>
          <a:effectLst/>
        </c:spPr>
        <c:marker>
          <c:symbol val="none"/>
        </c:marker>
      </c:pivotFmt>
      <c:pivotFmt>
        <c:idx val="802"/>
        <c:spPr>
          <a:solidFill>
            <a:schemeClr val="accent1"/>
          </a:solidFill>
          <a:ln w="28575" cap="rnd">
            <a:solidFill>
              <a:schemeClr val="accent1"/>
            </a:solidFill>
            <a:round/>
          </a:ln>
          <a:effectLst/>
        </c:spPr>
        <c:marker>
          <c:symbol val="none"/>
        </c:marker>
      </c:pivotFmt>
      <c:pivotFmt>
        <c:idx val="803"/>
        <c:spPr>
          <a:solidFill>
            <a:schemeClr val="accent1"/>
          </a:solidFill>
          <a:ln w="28575" cap="rnd">
            <a:solidFill>
              <a:schemeClr val="accent1"/>
            </a:solidFill>
            <a:round/>
          </a:ln>
          <a:effectLst/>
        </c:spPr>
        <c:marker>
          <c:symbol val="none"/>
        </c:marker>
      </c:pivotFmt>
      <c:pivotFmt>
        <c:idx val="804"/>
        <c:spPr>
          <a:solidFill>
            <a:schemeClr val="accent1"/>
          </a:solidFill>
          <a:ln w="28575" cap="rnd">
            <a:solidFill>
              <a:schemeClr val="accent1"/>
            </a:solidFill>
            <a:round/>
          </a:ln>
          <a:effectLst/>
        </c:spPr>
        <c:marker>
          <c:symbol val="none"/>
        </c:marker>
      </c:pivotFmt>
      <c:pivotFmt>
        <c:idx val="805"/>
        <c:spPr>
          <a:solidFill>
            <a:schemeClr val="accent1"/>
          </a:solidFill>
          <a:ln w="28575" cap="rnd">
            <a:solidFill>
              <a:schemeClr val="accent1"/>
            </a:solidFill>
            <a:round/>
          </a:ln>
          <a:effectLst/>
        </c:spPr>
        <c:marker>
          <c:symbol val="none"/>
        </c:marker>
      </c:pivotFmt>
      <c:pivotFmt>
        <c:idx val="806"/>
        <c:spPr>
          <a:solidFill>
            <a:schemeClr val="accent1"/>
          </a:solidFill>
          <a:ln w="28575" cap="rnd">
            <a:solidFill>
              <a:schemeClr val="accent1"/>
            </a:solidFill>
            <a:round/>
          </a:ln>
          <a:effectLst/>
        </c:spPr>
        <c:marker>
          <c:symbol val="none"/>
        </c:marker>
      </c:pivotFmt>
      <c:pivotFmt>
        <c:idx val="807"/>
        <c:spPr>
          <a:solidFill>
            <a:schemeClr val="accent1"/>
          </a:solidFill>
          <a:ln w="28575" cap="rnd">
            <a:solidFill>
              <a:schemeClr val="accent1"/>
            </a:solidFill>
            <a:round/>
          </a:ln>
          <a:effectLst/>
        </c:spPr>
        <c:marker>
          <c:symbol val="none"/>
        </c:marker>
      </c:pivotFmt>
      <c:pivotFmt>
        <c:idx val="808"/>
        <c:spPr>
          <a:solidFill>
            <a:schemeClr val="accent1"/>
          </a:solidFill>
          <a:ln w="28575" cap="rnd">
            <a:solidFill>
              <a:schemeClr val="accent1"/>
            </a:solidFill>
            <a:round/>
          </a:ln>
          <a:effectLst/>
        </c:spPr>
        <c:marker>
          <c:symbol val="none"/>
        </c:marker>
      </c:pivotFmt>
      <c:pivotFmt>
        <c:idx val="809"/>
        <c:spPr>
          <a:solidFill>
            <a:schemeClr val="accent1"/>
          </a:solidFill>
          <a:ln w="28575" cap="rnd">
            <a:solidFill>
              <a:schemeClr val="accent1"/>
            </a:solidFill>
            <a:round/>
          </a:ln>
          <a:effectLst/>
        </c:spPr>
        <c:marker>
          <c:symbol val="none"/>
        </c:marker>
      </c:pivotFmt>
      <c:pivotFmt>
        <c:idx val="810"/>
        <c:spPr>
          <a:solidFill>
            <a:schemeClr val="accent1"/>
          </a:solidFill>
          <a:ln w="28575" cap="rnd">
            <a:solidFill>
              <a:schemeClr val="accent1"/>
            </a:solidFill>
            <a:round/>
          </a:ln>
          <a:effectLst/>
        </c:spPr>
        <c:marker>
          <c:symbol val="none"/>
        </c:marker>
      </c:pivotFmt>
      <c:pivotFmt>
        <c:idx val="811"/>
        <c:spPr>
          <a:solidFill>
            <a:schemeClr val="accent1"/>
          </a:solidFill>
          <a:ln w="28575" cap="rnd">
            <a:solidFill>
              <a:schemeClr val="accent1"/>
            </a:solidFill>
            <a:round/>
          </a:ln>
          <a:effectLst/>
        </c:spPr>
        <c:marker>
          <c:symbol val="none"/>
        </c:marker>
      </c:pivotFmt>
      <c:pivotFmt>
        <c:idx val="812"/>
        <c:spPr>
          <a:solidFill>
            <a:schemeClr val="accent1"/>
          </a:solidFill>
          <a:ln w="28575" cap="rnd">
            <a:solidFill>
              <a:schemeClr val="accent1"/>
            </a:solidFill>
            <a:round/>
          </a:ln>
          <a:effectLst/>
        </c:spPr>
        <c:marker>
          <c:symbol val="none"/>
        </c:marker>
      </c:pivotFmt>
      <c:pivotFmt>
        <c:idx val="813"/>
        <c:spPr>
          <a:solidFill>
            <a:schemeClr val="accent1"/>
          </a:solidFill>
          <a:ln w="28575" cap="rnd">
            <a:solidFill>
              <a:schemeClr val="accent1"/>
            </a:solidFill>
            <a:round/>
          </a:ln>
          <a:effectLst/>
        </c:spPr>
        <c:marker>
          <c:symbol val="none"/>
        </c:marker>
      </c:pivotFmt>
      <c:pivotFmt>
        <c:idx val="814"/>
        <c:spPr>
          <a:solidFill>
            <a:schemeClr val="accent1"/>
          </a:solidFill>
          <a:ln w="28575" cap="rnd">
            <a:solidFill>
              <a:schemeClr val="accent1"/>
            </a:solidFill>
            <a:round/>
          </a:ln>
          <a:effectLst/>
        </c:spPr>
        <c:marker>
          <c:symbol val="none"/>
        </c:marker>
      </c:pivotFmt>
      <c:pivotFmt>
        <c:idx val="815"/>
        <c:spPr>
          <a:solidFill>
            <a:schemeClr val="accent1"/>
          </a:solidFill>
          <a:ln w="28575" cap="rnd">
            <a:solidFill>
              <a:schemeClr val="accent1"/>
            </a:solidFill>
            <a:round/>
          </a:ln>
          <a:effectLst/>
        </c:spPr>
        <c:marker>
          <c:symbol val="none"/>
        </c:marker>
      </c:pivotFmt>
      <c:pivotFmt>
        <c:idx val="816"/>
        <c:spPr>
          <a:solidFill>
            <a:schemeClr val="accent1"/>
          </a:solidFill>
          <a:ln w="28575" cap="rnd">
            <a:solidFill>
              <a:schemeClr val="accent1"/>
            </a:solidFill>
            <a:round/>
          </a:ln>
          <a:effectLst/>
        </c:spPr>
        <c:marker>
          <c:symbol val="none"/>
        </c:marker>
      </c:pivotFmt>
      <c:pivotFmt>
        <c:idx val="817"/>
        <c:spPr>
          <a:solidFill>
            <a:schemeClr val="accent1"/>
          </a:solidFill>
          <a:ln w="28575" cap="rnd">
            <a:solidFill>
              <a:schemeClr val="accent1"/>
            </a:solidFill>
            <a:round/>
          </a:ln>
          <a:effectLst/>
        </c:spPr>
        <c:marker>
          <c:symbol val="none"/>
        </c:marker>
      </c:pivotFmt>
      <c:pivotFmt>
        <c:idx val="818"/>
        <c:spPr>
          <a:solidFill>
            <a:schemeClr val="accent1"/>
          </a:solidFill>
          <a:ln w="28575" cap="rnd">
            <a:solidFill>
              <a:schemeClr val="accent1"/>
            </a:solidFill>
            <a:round/>
          </a:ln>
          <a:effectLst/>
        </c:spPr>
        <c:marker>
          <c:symbol val="none"/>
        </c:marker>
      </c:pivotFmt>
      <c:pivotFmt>
        <c:idx val="819"/>
        <c:spPr>
          <a:solidFill>
            <a:schemeClr val="accent1"/>
          </a:solidFill>
          <a:ln w="28575" cap="rnd">
            <a:solidFill>
              <a:schemeClr val="accent1"/>
            </a:solidFill>
            <a:round/>
          </a:ln>
          <a:effectLst/>
        </c:spPr>
        <c:marker>
          <c:symbol val="none"/>
        </c:marker>
      </c:pivotFmt>
      <c:pivotFmt>
        <c:idx val="820"/>
        <c:spPr>
          <a:solidFill>
            <a:schemeClr val="accent1"/>
          </a:solidFill>
          <a:ln w="28575" cap="rnd">
            <a:solidFill>
              <a:schemeClr val="accent1"/>
            </a:solidFill>
            <a:round/>
          </a:ln>
          <a:effectLst/>
        </c:spPr>
        <c:marker>
          <c:symbol val="none"/>
        </c:marker>
      </c:pivotFmt>
      <c:pivotFmt>
        <c:idx val="821"/>
        <c:spPr>
          <a:solidFill>
            <a:schemeClr val="accent1"/>
          </a:solidFill>
          <a:ln w="28575" cap="rnd">
            <a:solidFill>
              <a:schemeClr val="accent1"/>
            </a:solidFill>
            <a:round/>
          </a:ln>
          <a:effectLst/>
        </c:spPr>
        <c:marker>
          <c:symbol val="none"/>
        </c:marker>
      </c:pivotFmt>
      <c:pivotFmt>
        <c:idx val="822"/>
        <c:spPr>
          <a:solidFill>
            <a:schemeClr val="accent1"/>
          </a:solidFill>
          <a:ln w="28575" cap="rnd">
            <a:solidFill>
              <a:schemeClr val="accent1"/>
            </a:solidFill>
            <a:round/>
          </a:ln>
          <a:effectLst/>
        </c:spPr>
        <c:marker>
          <c:symbol val="none"/>
        </c:marker>
      </c:pivotFmt>
      <c:pivotFmt>
        <c:idx val="823"/>
        <c:spPr>
          <a:solidFill>
            <a:schemeClr val="accent1"/>
          </a:solidFill>
          <a:ln w="28575" cap="rnd">
            <a:solidFill>
              <a:schemeClr val="accent1"/>
            </a:solidFill>
            <a:round/>
          </a:ln>
          <a:effectLst/>
        </c:spPr>
        <c:marker>
          <c:symbol val="none"/>
        </c:marker>
      </c:pivotFmt>
      <c:pivotFmt>
        <c:idx val="824"/>
        <c:spPr>
          <a:solidFill>
            <a:schemeClr val="accent1"/>
          </a:solidFill>
          <a:ln w="28575" cap="rnd">
            <a:solidFill>
              <a:schemeClr val="accent1"/>
            </a:solidFill>
            <a:round/>
          </a:ln>
          <a:effectLst/>
        </c:spPr>
        <c:marker>
          <c:symbol val="none"/>
        </c:marker>
      </c:pivotFmt>
      <c:pivotFmt>
        <c:idx val="825"/>
        <c:spPr>
          <a:solidFill>
            <a:schemeClr val="accent1"/>
          </a:solidFill>
          <a:ln w="28575" cap="rnd">
            <a:solidFill>
              <a:schemeClr val="accent1"/>
            </a:solidFill>
            <a:round/>
          </a:ln>
          <a:effectLst/>
        </c:spPr>
        <c:marker>
          <c:symbol val="none"/>
        </c:marker>
      </c:pivotFmt>
      <c:pivotFmt>
        <c:idx val="826"/>
        <c:spPr>
          <a:solidFill>
            <a:schemeClr val="accent1"/>
          </a:solidFill>
          <a:ln w="28575" cap="rnd">
            <a:solidFill>
              <a:schemeClr val="accent1"/>
            </a:solidFill>
            <a:round/>
          </a:ln>
          <a:effectLst/>
        </c:spPr>
        <c:marker>
          <c:symbol val="none"/>
        </c:marker>
      </c:pivotFmt>
      <c:pivotFmt>
        <c:idx val="827"/>
        <c:spPr>
          <a:solidFill>
            <a:schemeClr val="accent1"/>
          </a:solidFill>
          <a:ln w="28575" cap="rnd">
            <a:solidFill>
              <a:schemeClr val="accent1"/>
            </a:solidFill>
            <a:round/>
          </a:ln>
          <a:effectLst/>
        </c:spPr>
        <c:marker>
          <c:symbol val="none"/>
        </c:marker>
      </c:pivotFmt>
      <c:pivotFmt>
        <c:idx val="828"/>
        <c:spPr>
          <a:solidFill>
            <a:schemeClr val="accent1"/>
          </a:solidFill>
          <a:ln w="28575" cap="rnd">
            <a:solidFill>
              <a:schemeClr val="accent1"/>
            </a:solidFill>
            <a:round/>
          </a:ln>
          <a:effectLst/>
        </c:spPr>
        <c:marker>
          <c:symbol val="none"/>
        </c:marker>
      </c:pivotFmt>
      <c:pivotFmt>
        <c:idx val="829"/>
        <c:spPr>
          <a:solidFill>
            <a:schemeClr val="accent1"/>
          </a:solidFill>
          <a:ln w="28575" cap="rnd">
            <a:solidFill>
              <a:schemeClr val="accent1"/>
            </a:solidFill>
            <a:round/>
          </a:ln>
          <a:effectLst/>
        </c:spPr>
        <c:marker>
          <c:symbol val="none"/>
        </c:marker>
      </c:pivotFmt>
      <c:pivotFmt>
        <c:idx val="830"/>
        <c:spPr>
          <a:solidFill>
            <a:schemeClr val="accent1"/>
          </a:solidFill>
          <a:ln w="28575" cap="rnd">
            <a:solidFill>
              <a:schemeClr val="accent1"/>
            </a:solidFill>
            <a:round/>
          </a:ln>
          <a:effectLst/>
        </c:spPr>
        <c:marker>
          <c:symbol val="none"/>
        </c:marker>
      </c:pivotFmt>
      <c:pivotFmt>
        <c:idx val="831"/>
        <c:spPr>
          <a:solidFill>
            <a:schemeClr val="accent1"/>
          </a:solidFill>
          <a:ln w="28575" cap="rnd">
            <a:solidFill>
              <a:schemeClr val="accent1"/>
            </a:solidFill>
            <a:round/>
          </a:ln>
          <a:effectLst/>
        </c:spPr>
        <c:marker>
          <c:symbol val="none"/>
        </c:marker>
      </c:pivotFmt>
      <c:pivotFmt>
        <c:idx val="832"/>
        <c:spPr>
          <a:solidFill>
            <a:schemeClr val="accent1"/>
          </a:solidFill>
          <a:ln w="28575" cap="rnd">
            <a:solidFill>
              <a:schemeClr val="accent1"/>
            </a:solidFill>
            <a:round/>
          </a:ln>
          <a:effectLst/>
        </c:spPr>
        <c:marker>
          <c:symbol val="none"/>
        </c:marker>
      </c:pivotFmt>
      <c:pivotFmt>
        <c:idx val="833"/>
        <c:spPr>
          <a:solidFill>
            <a:schemeClr val="accent1"/>
          </a:solidFill>
          <a:ln w="28575" cap="rnd">
            <a:solidFill>
              <a:schemeClr val="accent1"/>
            </a:solidFill>
            <a:round/>
          </a:ln>
          <a:effectLst/>
        </c:spPr>
        <c:marker>
          <c:symbol val="none"/>
        </c:marker>
      </c:pivotFmt>
      <c:pivotFmt>
        <c:idx val="834"/>
        <c:spPr>
          <a:solidFill>
            <a:schemeClr val="accent1"/>
          </a:solidFill>
          <a:ln w="28575" cap="rnd">
            <a:solidFill>
              <a:schemeClr val="accent1"/>
            </a:solidFill>
            <a:round/>
          </a:ln>
          <a:effectLst/>
        </c:spPr>
        <c:marker>
          <c:symbol val="none"/>
        </c:marker>
      </c:pivotFmt>
      <c:pivotFmt>
        <c:idx val="835"/>
        <c:spPr>
          <a:solidFill>
            <a:schemeClr val="accent1"/>
          </a:solidFill>
          <a:ln w="28575" cap="rnd">
            <a:solidFill>
              <a:schemeClr val="accent1"/>
            </a:solidFill>
            <a:round/>
          </a:ln>
          <a:effectLst/>
        </c:spPr>
        <c:marker>
          <c:symbol val="none"/>
        </c:marker>
      </c:pivotFmt>
      <c:pivotFmt>
        <c:idx val="836"/>
        <c:spPr>
          <a:solidFill>
            <a:schemeClr val="accent1"/>
          </a:solidFill>
          <a:ln w="28575" cap="rnd">
            <a:solidFill>
              <a:schemeClr val="accent1"/>
            </a:solidFill>
            <a:round/>
          </a:ln>
          <a:effectLst/>
        </c:spPr>
        <c:marker>
          <c:symbol val="none"/>
        </c:marker>
      </c:pivotFmt>
      <c:pivotFmt>
        <c:idx val="837"/>
        <c:spPr>
          <a:solidFill>
            <a:schemeClr val="accent1"/>
          </a:solidFill>
          <a:ln w="28575" cap="rnd">
            <a:solidFill>
              <a:schemeClr val="accent1"/>
            </a:solidFill>
            <a:round/>
          </a:ln>
          <a:effectLst/>
        </c:spPr>
        <c:marker>
          <c:symbol val="none"/>
        </c:marker>
      </c:pivotFmt>
      <c:pivotFmt>
        <c:idx val="838"/>
        <c:spPr>
          <a:solidFill>
            <a:schemeClr val="accent1"/>
          </a:solidFill>
          <a:ln w="28575" cap="rnd">
            <a:solidFill>
              <a:schemeClr val="accent1"/>
            </a:solidFill>
            <a:round/>
          </a:ln>
          <a:effectLst/>
        </c:spPr>
        <c:marker>
          <c:symbol val="none"/>
        </c:marker>
      </c:pivotFmt>
      <c:pivotFmt>
        <c:idx val="839"/>
        <c:spPr>
          <a:solidFill>
            <a:schemeClr val="accent1"/>
          </a:solidFill>
          <a:ln w="28575" cap="rnd">
            <a:solidFill>
              <a:schemeClr val="accent1"/>
            </a:solidFill>
            <a:round/>
          </a:ln>
          <a:effectLst/>
        </c:spPr>
        <c:marker>
          <c:symbol val="none"/>
        </c:marker>
      </c:pivotFmt>
      <c:pivotFmt>
        <c:idx val="840"/>
        <c:spPr>
          <a:solidFill>
            <a:schemeClr val="accent1"/>
          </a:solidFill>
          <a:ln w="28575" cap="rnd">
            <a:solidFill>
              <a:schemeClr val="accent1"/>
            </a:solidFill>
            <a:round/>
          </a:ln>
          <a:effectLst/>
        </c:spPr>
        <c:marker>
          <c:symbol val="none"/>
        </c:marker>
      </c:pivotFmt>
      <c:pivotFmt>
        <c:idx val="841"/>
        <c:spPr>
          <a:solidFill>
            <a:schemeClr val="accent1"/>
          </a:solidFill>
          <a:ln w="28575" cap="rnd">
            <a:solidFill>
              <a:schemeClr val="accent1"/>
            </a:solidFill>
            <a:round/>
          </a:ln>
          <a:effectLst/>
        </c:spPr>
        <c:marker>
          <c:symbol val="none"/>
        </c:marker>
      </c:pivotFmt>
      <c:pivotFmt>
        <c:idx val="842"/>
        <c:spPr>
          <a:solidFill>
            <a:schemeClr val="accent1"/>
          </a:solidFill>
          <a:ln w="28575" cap="rnd">
            <a:solidFill>
              <a:schemeClr val="accent1"/>
            </a:solidFill>
            <a:round/>
          </a:ln>
          <a:effectLst/>
        </c:spPr>
        <c:marker>
          <c:symbol val="none"/>
        </c:marker>
      </c:pivotFmt>
      <c:pivotFmt>
        <c:idx val="843"/>
        <c:spPr>
          <a:solidFill>
            <a:schemeClr val="accent1"/>
          </a:solidFill>
          <a:ln w="28575" cap="rnd">
            <a:solidFill>
              <a:schemeClr val="accent1"/>
            </a:solidFill>
            <a:round/>
          </a:ln>
          <a:effectLst/>
        </c:spPr>
        <c:marker>
          <c:symbol val="none"/>
        </c:marker>
      </c:pivotFmt>
      <c:pivotFmt>
        <c:idx val="844"/>
        <c:spPr>
          <a:solidFill>
            <a:schemeClr val="accent1"/>
          </a:solidFill>
          <a:ln w="28575" cap="rnd">
            <a:solidFill>
              <a:schemeClr val="accent1"/>
            </a:solidFill>
            <a:round/>
          </a:ln>
          <a:effectLst/>
        </c:spPr>
        <c:marker>
          <c:symbol val="none"/>
        </c:marker>
      </c:pivotFmt>
      <c:pivotFmt>
        <c:idx val="845"/>
        <c:spPr>
          <a:solidFill>
            <a:schemeClr val="accent1"/>
          </a:solidFill>
          <a:ln w="28575" cap="rnd">
            <a:solidFill>
              <a:schemeClr val="accent1"/>
            </a:solidFill>
            <a:round/>
          </a:ln>
          <a:effectLst/>
        </c:spPr>
        <c:marker>
          <c:symbol val="none"/>
        </c:marker>
      </c:pivotFmt>
      <c:pivotFmt>
        <c:idx val="846"/>
        <c:spPr>
          <a:solidFill>
            <a:schemeClr val="accent1"/>
          </a:solidFill>
          <a:ln w="28575" cap="rnd">
            <a:solidFill>
              <a:schemeClr val="accent1"/>
            </a:solidFill>
            <a:round/>
          </a:ln>
          <a:effectLst/>
        </c:spPr>
        <c:marker>
          <c:symbol val="none"/>
        </c:marker>
      </c:pivotFmt>
      <c:pivotFmt>
        <c:idx val="847"/>
        <c:spPr>
          <a:solidFill>
            <a:schemeClr val="accent1"/>
          </a:solidFill>
          <a:ln w="28575" cap="rnd">
            <a:solidFill>
              <a:schemeClr val="accent1"/>
            </a:solidFill>
            <a:round/>
          </a:ln>
          <a:effectLst/>
        </c:spPr>
        <c:marker>
          <c:symbol val="none"/>
        </c:marker>
      </c:pivotFmt>
      <c:pivotFmt>
        <c:idx val="848"/>
        <c:spPr>
          <a:solidFill>
            <a:schemeClr val="accent1"/>
          </a:solidFill>
          <a:ln w="28575" cap="rnd">
            <a:solidFill>
              <a:schemeClr val="accent1"/>
            </a:solidFill>
            <a:round/>
          </a:ln>
          <a:effectLst/>
        </c:spPr>
        <c:marker>
          <c:symbol val="none"/>
        </c:marker>
      </c:pivotFmt>
      <c:pivotFmt>
        <c:idx val="849"/>
        <c:spPr>
          <a:solidFill>
            <a:schemeClr val="accent1"/>
          </a:solidFill>
          <a:ln w="28575" cap="rnd">
            <a:solidFill>
              <a:schemeClr val="accent1"/>
            </a:solidFill>
            <a:round/>
          </a:ln>
          <a:effectLst/>
        </c:spPr>
        <c:marker>
          <c:symbol val="none"/>
        </c:marker>
      </c:pivotFmt>
      <c:pivotFmt>
        <c:idx val="850"/>
        <c:spPr>
          <a:solidFill>
            <a:schemeClr val="accent1"/>
          </a:solidFill>
          <a:ln w="28575" cap="rnd">
            <a:solidFill>
              <a:schemeClr val="accent1"/>
            </a:solidFill>
            <a:round/>
          </a:ln>
          <a:effectLst/>
        </c:spPr>
        <c:marker>
          <c:symbol val="none"/>
        </c:marker>
      </c:pivotFmt>
      <c:pivotFmt>
        <c:idx val="851"/>
        <c:spPr>
          <a:solidFill>
            <a:schemeClr val="accent1"/>
          </a:solidFill>
          <a:ln w="28575" cap="rnd">
            <a:solidFill>
              <a:schemeClr val="accent1"/>
            </a:solidFill>
            <a:round/>
          </a:ln>
          <a:effectLst/>
        </c:spPr>
        <c:marker>
          <c:symbol val="none"/>
        </c:marker>
      </c:pivotFmt>
      <c:pivotFmt>
        <c:idx val="852"/>
        <c:spPr>
          <a:solidFill>
            <a:schemeClr val="accent1"/>
          </a:solidFill>
          <a:ln w="28575" cap="rnd">
            <a:solidFill>
              <a:schemeClr val="accent1"/>
            </a:solidFill>
            <a:round/>
          </a:ln>
          <a:effectLst/>
        </c:spPr>
        <c:marker>
          <c:symbol val="none"/>
        </c:marker>
      </c:pivotFmt>
      <c:pivotFmt>
        <c:idx val="853"/>
        <c:spPr>
          <a:solidFill>
            <a:schemeClr val="accent1"/>
          </a:solidFill>
          <a:ln w="28575" cap="rnd">
            <a:solidFill>
              <a:schemeClr val="accent1"/>
            </a:solidFill>
            <a:round/>
          </a:ln>
          <a:effectLst/>
        </c:spPr>
        <c:marker>
          <c:symbol val="none"/>
        </c:marker>
      </c:pivotFmt>
      <c:pivotFmt>
        <c:idx val="854"/>
        <c:spPr>
          <a:solidFill>
            <a:schemeClr val="accent1"/>
          </a:solidFill>
          <a:ln w="28575" cap="rnd">
            <a:solidFill>
              <a:schemeClr val="accent1"/>
            </a:solidFill>
            <a:round/>
          </a:ln>
          <a:effectLst/>
        </c:spPr>
        <c:marker>
          <c:symbol val="none"/>
        </c:marker>
      </c:pivotFmt>
      <c:pivotFmt>
        <c:idx val="855"/>
        <c:spPr>
          <a:solidFill>
            <a:schemeClr val="accent1"/>
          </a:solidFill>
          <a:ln w="28575" cap="rnd">
            <a:solidFill>
              <a:schemeClr val="accent1"/>
            </a:solidFill>
            <a:round/>
          </a:ln>
          <a:effectLst/>
        </c:spPr>
        <c:marker>
          <c:symbol val="none"/>
        </c:marker>
      </c:pivotFmt>
      <c:pivotFmt>
        <c:idx val="856"/>
        <c:spPr>
          <a:solidFill>
            <a:schemeClr val="accent1"/>
          </a:solidFill>
          <a:ln w="28575" cap="rnd">
            <a:solidFill>
              <a:schemeClr val="accent1"/>
            </a:solidFill>
            <a:round/>
          </a:ln>
          <a:effectLst/>
        </c:spPr>
        <c:marker>
          <c:symbol val="none"/>
        </c:marker>
      </c:pivotFmt>
      <c:pivotFmt>
        <c:idx val="857"/>
        <c:spPr>
          <a:solidFill>
            <a:schemeClr val="accent1"/>
          </a:solidFill>
          <a:ln w="28575" cap="rnd">
            <a:solidFill>
              <a:schemeClr val="accent1"/>
            </a:solidFill>
            <a:round/>
          </a:ln>
          <a:effectLst/>
        </c:spPr>
        <c:marker>
          <c:symbol val="none"/>
        </c:marker>
      </c:pivotFmt>
      <c:pivotFmt>
        <c:idx val="858"/>
        <c:spPr>
          <a:solidFill>
            <a:schemeClr val="accent1"/>
          </a:solidFill>
          <a:ln w="28575" cap="rnd">
            <a:solidFill>
              <a:schemeClr val="accent1"/>
            </a:solidFill>
            <a:round/>
          </a:ln>
          <a:effectLst/>
        </c:spPr>
        <c:marker>
          <c:symbol val="none"/>
        </c:marker>
      </c:pivotFmt>
      <c:pivotFmt>
        <c:idx val="859"/>
        <c:spPr>
          <a:solidFill>
            <a:schemeClr val="accent1"/>
          </a:solidFill>
          <a:ln w="28575" cap="rnd">
            <a:solidFill>
              <a:schemeClr val="accent1"/>
            </a:solidFill>
            <a:round/>
          </a:ln>
          <a:effectLst/>
        </c:spPr>
        <c:marker>
          <c:symbol val="none"/>
        </c:marker>
      </c:pivotFmt>
      <c:pivotFmt>
        <c:idx val="860"/>
        <c:spPr>
          <a:solidFill>
            <a:schemeClr val="accent1"/>
          </a:solidFill>
          <a:ln w="28575" cap="rnd">
            <a:solidFill>
              <a:schemeClr val="accent1"/>
            </a:solidFill>
            <a:round/>
          </a:ln>
          <a:effectLst/>
        </c:spPr>
        <c:marker>
          <c:symbol val="none"/>
        </c:marker>
      </c:pivotFmt>
      <c:pivotFmt>
        <c:idx val="861"/>
        <c:spPr>
          <a:solidFill>
            <a:schemeClr val="accent1"/>
          </a:solidFill>
          <a:ln w="28575" cap="rnd">
            <a:solidFill>
              <a:schemeClr val="accent1"/>
            </a:solidFill>
            <a:round/>
          </a:ln>
          <a:effectLst/>
        </c:spPr>
        <c:marker>
          <c:symbol val="none"/>
        </c:marker>
      </c:pivotFmt>
      <c:pivotFmt>
        <c:idx val="862"/>
        <c:spPr>
          <a:solidFill>
            <a:schemeClr val="accent1"/>
          </a:solidFill>
          <a:ln w="28575" cap="rnd">
            <a:solidFill>
              <a:schemeClr val="accent1"/>
            </a:solidFill>
            <a:round/>
          </a:ln>
          <a:effectLst/>
        </c:spPr>
        <c:marker>
          <c:symbol val="none"/>
        </c:marker>
      </c:pivotFmt>
      <c:pivotFmt>
        <c:idx val="863"/>
        <c:spPr>
          <a:solidFill>
            <a:schemeClr val="accent1"/>
          </a:solidFill>
          <a:ln w="28575" cap="rnd">
            <a:solidFill>
              <a:schemeClr val="accent1"/>
            </a:solidFill>
            <a:round/>
          </a:ln>
          <a:effectLst/>
        </c:spPr>
        <c:marker>
          <c:symbol val="none"/>
        </c:marker>
      </c:pivotFmt>
      <c:pivotFmt>
        <c:idx val="864"/>
        <c:spPr>
          <a:solidFill>
            <a:schemeClr val="accent1"/>
          </a:solidFill>
          <a:ln w="28575" cap="rnd">
            <a:solidFill>
              <a:schemeClr val="accent1"/>
            </a:solidFill>
            <a:round/>
          </a:ln>
          <a:effectLst/>
        </c:spPr>
        <c:marker>
          <c:symbol val="none"/>
        </c:marker>
      </c:pivotFmt>
      <c:pivotFmt>
        <c:idx val="865"/>
        <c:spPr>
          <a:solidFill>
            <a:schemeClr val="accent1"/>
          </a:solidFill>
          <a:ln w="28575" cap="rnd">
            <a:solidFill>
              <a:schemeClr val="accent1"/>
            </a:solidFill>
            <a:round/>
          </a:ln>
          <a:effectLst/>
        </c:spPr>
        <c:marker>
          <c:symbol val="none"/>
        </c:marker>
      </c:pivotFmt>
      <c:pivotFmt>
        <c:idx val="866"/>
        <c:spPr>
          <a:solidFill>
            <a:schemeClr val="accent1"/>
          </a:solidFill>
          <a:ln w="28575" cap="rnd">
            <a:solidFill>
              <a:schemeClr val="accent1"/>
            </a:solidFill>
            <a:round/>
          </a:ln>
          <a:effectLst/>
        </c:spPr>
        <c:marker>
          <c:symbol val="none"/>
        </c:marker>
      </c:pivotFmt>
      <c:pivotFmt>
        <c:idx val="867"/>
        <c:spPr>
          <a:solidFill>
            <a:schemeClr val="accent1"/>
          </a:solidFill>
          <a:ln w="28575" cap="rnd">
            <a:solidFill>
              <a:schemeClr val="accent1"/>
            </a:solidFill>
            <a:round/>
          </a:ln>
          <a:effectLst/>
        </c:spPr>
        <c:marker>
          <c:symbol val="none"/>
        </c:marker>
      </c:pivotFmt>
      <c:pivotFmt>
        <c:idx val="868"/>
        <c:spPr>
          <a:solidFill>
            <a:schemeClr val="accent1"/>
          </a:solidFill>
          <a:ln w="28575" cap="rnd">
            <a:solidFill>
              <a:schemeClr val="accent1"/>
            </a:solidFill>
            <a:round/>
          </a:ln>
          <a:effectLst/>
        </c:spPr>
        <c:marker>
          <c:symbol val="none"/>
        </c:marker>
      </c:pivotFmt>
      <c:pivotFmt>
        <c:idx val="869"/>
        <c:spPr>
          <a:solidFill>
            <a:schemeClr val="accent1"/>
          </a:solidFill>
          <a:ln w="28575" cap="rnd">
            <a:solidFill>
              <a:schemeClr val="accent1"/>
            </a:solidFill>
            <a:round/>
          </a:ln>
          <a:effectLst/>
        </c:spPr>
        <c:marker>
          <c:symbol val="none"/>
        </c:marker>
      </c:pivotFmt>
      <c:pivotFmt>
        <c:idx val="870"/>
        <c:spPr>
          <a:solidFill>
            <a:schemeClr val="accent1"/>
          </a:solidFill>
          <a:ln w="28575" cap="rnd">
            <a:solidFill>
              <a:schemeClr val="accent1"/>
            </a:solidFill>
            <a:round/>
          </a:ln>
          <a:effectLst/>
        </c:spPr>
        <c:marker>
          <c:symbol val="none"/>
        </c:marker>
      </c:pivotFmt>
      <c:pivotFmt>
        <c:idx val="871"/>
        <c:spPr>
          <a:solidFill>
            <a:schemeClr val="accent1"/>
          </a:solidFill>
          <a:ln w="28575" cap="rnd">
            <a:solidFill>
              <a:schemeClr val="accent1"/>
            </a:solidFill>
            <a:round/>
          </a:ln>
          <a:effectLst/>
        </c:spPr>
        <c:marker>
          <c:symbol val="none"/>
        </c:marker>
      </c:pivotFmt>
      <c:pivotFmt>
        <c:idx val="872"/>
        <c:spPr>
          <a:solidFill>
            <a:schemeClr val="accent1"/>
          </a:solidFill>
          <a:ln w="28575" cap="rnd">
            <a:solidFill>
              <a:schemeClr val="accent1"/>
            </a:solidFill>
            <a:round/>
          </a:ln>
          <a:effectLst/>
        </c:spPr>
        <c:marker>
          <c:symbol val="none"/>
        </c:marker>
      </c:pivotFmt>
      <c:pivotFmt>
        <c:idx val="873"/>
        <c:spPr>
          <a:solidFill>
            <a:schemeClr val="accent1"/>
          </a:solidFill>
          <a:ln w="28575" cap="rnd">
            <a:solidFill>
              <a:schemeClr val="accent1"/>
            </a:solidFill>
            <a:round/>
          </a:ln>
          <a:effectLst/>
        </c:spPr>
        <c:marker>
          <c:symbol val="none"/>
        </c:marker>
      </c:pivotFmt>
      <c:pivotFmt>
        <c:idx val="874"/>
        <c:spPr>
          <a:solidFill>
            <a:schemeClr val="accent1"/>
          </a:solidFill>
          <a:ln w="28575" cap="rnd">
            <a:solidFill>
              <a:schemeClr val="accent1"/>
            </a:solidFill>
            <a:round/>
          </a:ln>
          <a:effectLst/>
        </c:spPr>
        <c:marker>
          <c:symbol val="none"/>
        </c:marker>
      </c:pivotFmt>
      <c:pivotFmt>
        <c:idx val="875"/>
        <c:spPr>
          <a:solidFill>
            <a:schemeClr val="accent1"/>
          </a:solidFill>
          <a:ln w="28575" cap="rnd">
            <a:solidFill>
              <a:schemeClr val="accent1"/>
            </a:solidFill>
            <a:round/>
          </a:ln>
          <a:effectLst/>
        </c:spPr>
        <c:marker>
          <c:symbol val="none"/>
        </c:marker>
      </c:pivotFmt>
      <c:pivotFmt>
        <c:idx val="876"/>
        <c:spPr>
          <a:solidFill>
            <a:schemeClr val="accent1"/>
          </a:solidFill>
          <a:ln w="28575" cap="rnd">
            <a:solidFill>
              <a:schemeClr val="accent1"/>
            </a:solidFill>
            <a:round/>
          </a:ln>
          <a:effectLst/>
        </c:spPr>
        <c:marker>
          <c:symbol val="none"/>
        </c:marker>
      </c:pivotFmt>
      <c:pivotFmt>
        <c:idx val="877"/>
        <c:spPr>
          <a:solidFill>
            <a:schemeClr val="accent1"/>
          </a:solidFill>
          <a:ln w="28575" cap="rnd">
            <a:solidFill>
              <a:schemeClr val="accent1"/>
            </a:solidFill>
            <a:round/>
          </a:ln>
          <a:effectLst/>
        </c:spPr>
        <c:marker>
          <c:symbol val="none"/>
        </c:marker>
      </c:pivotFmt>
      <c:pivotFmt>
        <c:idx val="878"/>
        <c:spPr>
          <a:solidFill>
            <a:schemeClr val="accent1"/>
          </a:solidFill>
          <a:ln w="28575" cap="rnd">
            <a:solidFill>
              <a:schemeClr val="accent1"/>
            </a:solidFill>
            <a:round/>
          </a:ln>
          <a:effectLst/>
        </c:spPr>
        <c:marker>
          <c:symbol val="none"/>
        </c:marker>
      </c:pivotFmt>
      <c:pivotFmt>
        <c:idx val="879"/>
        <c:spPr>
          <a:solidFill>
            <a:schemeClr val="accent1"/>
          </a:solidFill>
          <a:ln w="28575" cap="rnd">
            <a:solidFill>
              <a:schemeClr val="accent1"/>
            </a:solidFill>
            <a:round/>
          </a:ln>
          <a:effectLst/>
        </c:spPr>
        <c:marker>
          <c:symbol val="none"/>
        </c:marker>
      </c:pivotFmt>
      <c:pivotFmt>
        <c:idx val="880"/>
        <c:spPr>
          <a:solidFill>
            <a:schemeClr val="accent1"/>
          </a:solidFill>
          <a:ln w="28575" cap="rnd">
            <a:solidFill>
              <a:schemeClr val="accent1"/>
            </a:solidFill>
            <a:round/>
          </a:ln>
          <a:effectLst/>
        </c:spPr>
        <c:marker>
          <c:symbol val="none"/>
        </c:marker>
      </c:pivotFmt>
      <c:pivotFmt>
        <c:idx val="881"/>
        <c:spPr>
          <a:solidFill>
            <a:schemeClr val="accent1"/>
          </a:solidFill>
          <a:ln w="28575" cap="rnd">
            <a:solidFill>
              <a:schemeClr val="accent1"/>
            </a:solidFill>
            <a:round/>
          </a:ln>
          <a:effectLst/>
        </c:spPr>
        <c:marker>
          <c:symbol val="none"/>
        </c:marker>
      </c:pivotFmt>
      <c:pivotFmt>
        <c:idx val="882"/>
        <c:spPr>
          <a:solidFill>
            <a:schemeClr val="accent1"/>
          </a:solidFill>
          <a:ln w="28575" cap="rnd">
            <a:solidFill>
              <a:schemeClr val="accent1"/>
            </a:solidFill>
            <a:round/>
          </a:ln>
          <a:effectLst/>
        </c:spPr>
        <c:marker>
          <c:symbol val="none"/>
        </c:marker>
      </c:pivotFmt>
      <c:pivotFmt>
        <c:idx val="883"/>
        <c:spPr>
          <a:solidFill>
            <a:schemeClr val="accent1"/>
          </a:solidFill>
          <a:ln w="28575" cap="rnd">
            <a:solidFill>
              <a:schemeClr val="accent1"/>
            </a:solidFill>
            <a:round/>
          </a:ln>
          <a:effectLst/>
        </c:spPr>
        <c:marker>
          <c:symbol val="none"/>
        </c:marker>
      </c:pivotFmt>
      <c:pivotFmt>
        <c:idx val="884"/>
        <c:spPr>
          <a:solidFill>
            <a:schemeClr val="accent1"/>
          </a:solidFill>
          <a:ln w="28575" cap="rnd">
            <a:solidFill>
              <a:schemeClr val="accent1"/>
            </a:solidFill>
            <a:round/>
          </a:ln>
          <a:effectLst/>
        </c:spPr>
        <c:marker>
          <c:symbol val="none"/>
        </c:marker>
      </c:pivotFmt>
      <c:pivotFmt>
        <c:idx val="885"/>
        <c:spPr>
          <a:solidFill>
            <a:schemeClr val="accent1"/>
          </a:solidFill>
          <a:ln w="28575" cap="rnd">
            <a:solidFill>
              <a:schemeClr val="accent1"/>
            </a:solidFill>
            <a:round/>
          </a:ln>
          <a:effectLst/>
        </c:spPr>
        <c:marker>
          <c:symbol val="none"/>
        </c:marker>
      </c:pivotFmt>
      <c:pivotFmt>
        <c:idx val="886"/>
        <c:spPr>
          <a:solidFill>
            <a:schemeClr val="accent1"/>
          </a:solidFill>
          <a:ln w="28575" cap="rnd">
            <a:solidFill>
              <a:schemeClr val="accent1"/>
            </a:solidFill>
            <a:round/>
          </a:ln>
          <a:effectLst/>
        </c:spPr>
        <c:marker>
          <c:symbol val="none"/>
        </c:marker>
      </c:pivotFmt>
      <c:pivotFmt>
        <c:idx val="887"/>
        <c:spPr>
          <a:solidFill>
            <a:schemeClr val="accent1"/>
          </a:solidFill>
          <a:ln w="28575" cap="rnd">
            <a:solidFill>
              <a:schemeClr val="accent1"/>
            </a:solidFill>
            <a:round/>
          </a:ln>
          <a:effectLst/>
        </c:spPr>
        <c:marker>
          <c:symbol val="none"/>
        </c:marker>
      </c:pivotFmt>
      <c:pivotFmt>
        <c:idx val="888"/>
        <c:spPr>
          <a:solidFill>
            <a:schemeClr val="accent1"/>
          </a:solidFill>
          <a:ln w="28575" cap="rnd">
            <a:solidFill>
              <a:schemeClr val="accent1"/>
            </a:solidFill>
            <a:round/>
          </a:ln>
          <a:effectLst/>
        </c:spPr>
        <c:marker>
          <c:symbol val="none"/>
        </c:marker>
      </c:pivotFmt>
      <c:pivotFmt>
        <c:idx val="889"/>
        <c:spPr>
          <a:solidFill>
            <a:schemeClr val="accent1"/>
          </a:solidFill>
          <a:ln w="28575" cap="rnd">
            <a:solidFill>
              <a:schemeClr val="accent1"/>
            </a:solidFill>
            <a:round/>
          </a:ln>
          <a:effectLst/>
        </c:spPr>
        <c:marker>
          <c:symbol val="none"/>
        </c:marker>
      </c:pivotFmt>
      <c:pivotFmt>
        <c:idx val="890"/>
        <c:spPr>
          <a:solidFill>
            <a:schemeClr val="accent1"/>
          </a:solidFill>
          <a:ln w="28575" cap="rnd">
            <a:solidFill>
              <a:schemeClr val="accent1"/>
            </a:solidFill>
            <a:round/>
          </a:ln>
          <a:effectLst/>
        </c:spPr>
        <c:marker>
          <c:symbol val="none"/>
        </c:marker>
      </c:pivotFmt>
      <c:pivotFmt>
        <c:idx val="891"/>
        <c:spPr>
          <a:solidFill>
            <a:schemeClr val="accent1"/>
          </a:solidFill>
          <a:ln w="28575" cap="rnd">
            <a:solidFill>
              <a:schemeClr val="accent1"/>
            </a:solidFill>
            <a:round/>
          </a:ln>
          <a:effectLst/>
        </c:spPr>
        <c:marker>
          <c:symbol val="none"/>
        </c:marker>
      </c:pivotFmt>
      <c:pivotFmt>
        <c:idx val="892"/>
        <c:spPr>
          <a:solidFill>
            <a:schemeClr val="accent1"/>
          </a:solidFill>
          <a:ln w="28575" cap="rnd">
            <a:solidFill>
              <a:schemeClr val="accent1"/>
            </a:solidFill>
            <a:round/>
          </a:ln>
          <a:effectLst/>
        </c:spPr>
        <c:marker>
          <c:symbol val="none"/>
        </c:marker>
      </c:pivotFmt>
      <c:pivotFmt>
        <c:idx val="893"/>
        <c:spPr>
          <a:solidFill>
            <a:schemeClr val="accent1"/>
          </a:solidFill>
          <a:ln w="28575" cap="rnd">
            <a:solidFill>
              <a:schemeClr val="accent1"/>
            </a:solidFill>
            <a:round/>
          </a:ln>
          <a:effectLst/>
        </c:spPr>
        <c:marker>
          <c:symbol val="none"/>
        </c:marker>
      </c:pivotFmt>
      <c:pivotFmt>
        <c:idx val="894"/>
        <c:spPr>
          <a:solidFill>
            <a:schemeClr val="accent1"/>
          </a:solidFill>
          <a:ln w="28575" cap="rnd">
            <a:solidFill>
              <a:schemeClr val="accent1"/>
            </a:solidFill>
            <a:round/>
          </a:ln>
          <a:effectLst/>
        </c:spPr>
        <c:marker>
          <c:symbol val="none"/>
        </c:marker>
      </c:pivotFmt>
      <c:pivotFmt>
        <c:idx val="895"/>
        <c:spPr>
          <a:solidFill>
            <a:schemeClr val="accent1"/>
          </a:solidFill>
          <a:ln w="28575" cap="rnd">
            <a:solidFill>
              <a:schemeClr val="accent1"/>
            </a:solidFill>
            <a:round/>
          </a:ln>
          <a:effectLst/>
        </c:spPr>
        <c:marker>
          <c:symbol val="none"/>
        </c:marker>
      </c:pivotFmt>
      <c:pivotFmt>
        <c:idx val="896"/>
        <c:spPr>
          <a:solidFill>
            <a:schemeClr val="accent1"/>
          </a:solidFill>
          <a:ln w="28575" cap="rnd">
            <a:solidFill>
              <a:schemeClr val="accent1"/>
            </a:solidFill>
            <a:round/>
          </a:ln>
          <a:effectLst/>
        </c:spPr>
        <c:marker>
          <c:symbol val="none"/>
        </c:marker>
      </c:pivotFmt>
      <c:pivotFmt>
        <c:idx val="897"/>
        <c:spPr>
          <a:solidFill>
            <a:schemeClr val="accent1"/>
          </a:solidFill>
          <a:ln w="28575" cap="rnd">
            <a:solidFill>
              <a:schemeClr val="accent1"/>
            </a:solidFill>
            <a:round/>
          </a:ln>
          <a:effectLst/>
        </c:spPr>
        <c:marker>
          <c:symbol val="none"/>
        </c:marker>
      </c:pivotFmt>
      <c:pivotFmt>
        <c:idx val="898"/>
        <c:spPr>
          <a:solidFill>
            <a:schemeClr val="accent1"/>
          </a:solidFill>
          <a:ln w="28575" cap="rnd">
            <a:solidFill>
              <a:schemeClr val="accent1"/>
            </a:solidFill>
            <a:round/>
          </a:ln>
          <a:effectLst/>
        </c:spPr>
        <c:marker>
          <c:symbol val="none"/>
        </c:marker>
      </c:pivotFmt>
      <c:pivotFmt>
        <c:idx val="899"/>
        <c:spPr>
          <a:solidFill>
            <a:schemeClr val="accent1"/>
          </a:solidFill>
          <a:ln w="28575" cap="rnd">
            <a:solidFill>
              <a:schemeClr val="accent1"/>
            </a:solidFill>
            <a:round/>
          </a:ln>
          <a:effectLst/>
        </c:spPr>
        <c:marker>
          <c:symbol val="none"/>
        </c:marker>
      </c:pivotFmt>
      <c:pivotFmt>
        <c:idx val="900"/>
        <c:spPr>
          <a:solidFill>
            <a:schemeClr val="accent1"/>
          </a:solidFill>
          <a:ln w="28575" cap="rnd">
            <a:solidFill>
              <a:schemeClr val="accent1"/>
            </a:solidFill>
            <a:round/>
          </a:ln>
          <a:effectLst/>
        </c:spPr>
        <c:marker>
          <c:symbol val="none"/>
        </c:marker>
      </c:pivotFmt>
      <c:pivotFmt>
        <c:idx val="901"/>
        <c:spPr>
          <a:solidFill>
            <a:schemeClr val="accent1"/>
          </a:solidFill>
          <a:ln w="28575" cap="rnd">
            <a:solidFill>
              <a:schemeClr val="accent1"/>
            </a:solidFill>
            <a:round/>
          </a:ln>
          <a:effectLst/>
        </c:spPr>
        <c:marker>
          <c:symbol val="none"/>
        </c:marker>
      </c:pivotFmt>
      <c:pivotFmt>
        <c:idx val="902"/>
        <c:spPr>
          <a:solidFill>
            <a:schemeClr val="accent1"/>
          </a:solidFill>
          <a:ln w="28575" cap="rnd">
            <a:solidFill>
              <a:schemeClr val="accent1"/>
            </a:solidFill>
            <a:round/>
          </a:ln>
          <a:effectLst/>
        </c:spPr>
        <c:marker>
          <c:symbol val="none"/>
        </c:marker>
      </c:pivotFmt>
      <c:pivotFmt>
        <c:idx val="903"/>
        <c:spPr>
          <a:solidFill>
            <a:schemeClr val="accent1"/>
          </a:solidFill>
          <a:ln w="28575" cap="rnd">
            <a:solidFill>
              <a:schemeClr val="accent1"/>
            </a:solidFill>
            <a:round/>
          </a:ln>
          <a:effectLst/>
        </c:spPr>
        <c:marker>
          <c:symbol val="none"/>
        </c:marker>
      </c:pivotFmt>
      <c:pivotFmt>
        <c:idx val="904"/>
        <c:spPr>
          <a:solidFill>
            <a:schemeClr val="accent1"/>
          </a:solidFill>
          <a:ln w="28575" cap="rnd">
            <a:solidFill>
              <a:schemeClr val="accent1"/>
            </a:solidFill>
            <a:round/>
          </a:ln>
          <a:effectLst/>
        </c:spPr>
        <c:marker>
          <c:symbol val="none"/>
        </c:marker>
      </c:pivotFmt>
      <c:pivotFmt>
        <c:idx val="905"/>
        <c:spPr>
          <a:solidFill>
            <a:schemeClr val="accent1"/>
          </a:solidFill>
          <a:ln w="28575" cap="rnd">
            <a:solidFill>
              <a:schemeClr val="accent1"/>
            </a:solidFill>
            <a:round/>
          </a:ln>
          <a:effectLst/>
        </c:spPr>
        <c:marker>
          <c:symbol val="none"/>
        </c:marker>
      </c:pivotFmt>
      <c:pivotFmt>
        <c:idx val="906"/>
        <c:spPr>
          <a:solidFill>
            <a:schemeClr val="accent1"/>
          </a:solidFill>
          <a:ln w="28575" cap="rnd">
            <a:solidFill>
              <a:schemeClr val="accent1"/>
            </a:solidFill>
            <a:round/>
          </a:ln>
          <a:effectLst/>
        </c:spPr>
        <c:marker>
          <c:symbol val="none"/>
        </c:marker>
      </c:pivotFmt>
      <c:pivotFmt>
        <c:idx val="907"/>
        <c:spPr>
          <a:solidFill>
            <a:schemeClr val="accent1"/>
          </a:solidFill>
          <a:ln w="28575" cap="rnd">
            <a:solidFill>
              <a:schemeClr val="accent1"/>
            </a:solidFill>
            <a:round/>
          </a:ln>
          <a:effectLst/>
        </c:spPr>
        <c:marker>
          <c:symbol val="none"/>
        </c:marker>
      </c:pivotFmt>
      <c:pivotFmt>
        <c:idx val="908"/>
        <c:spPr>
          <a:solidFill>
            <a:schemeClr val="accent1"/>
          </a:solidFill>
          <a:ln w="28575" cap="rnd">
            <a:solidFill>
              <a:schemeClr val="accent1"/>
            </a:solidFill>
            <a:round/>
          </a:ln>
          <a:effectLst/>
        </c:spPr>
        <c:marker>
          <c:symbol val="none"/>
        </c:marker>
      </c:pivotFmt>
      <c:pivotFmt>
        <c:idx val="909"/>
        <c:spPr>
          <a:solidFill>
            <a:schemeClr val="accent1"/>
          </a:solidFill>
          <a:ln w="28575" cap="rnd">
            <a:solidFill>
              <a:schemeClr val="accent1"/>
            </a:solidFill>
            <a:round/>
          </a:ln>
          <a:effectLst/>
        </c:spPr>
        <c:marker>
          <c:symbol val="none"/>
        </c:marker>
      </c:pivotFmt>
      <c:pivotFmt>
        <c:idx val="910"/>
        <c:spPr>
          <a:solidFill>
            <a:schemeClr val="accent1"/>
          </a:solidFill>
          <a:ln w="28575" cap="rnd">
            <a:solidFill>
              <a:schemeClr val="accent1"/>
            </a:solidFill>
            <a:round/>
          </a:ln>
          <a:effectLst/>
        </c:spPr>
        <c:marker>
          <c:symbol val="none"/>
        </c:marker>
      </c:pivotFmt>
      <c:pivotFmt>
        <c:idx val="911"/>
        <c:spPr>
          <a:solidFill>
            <a:schemeClr val="accent1"/>
          </a:solidFill>
          <a:ln w="28575" cap="rnd">
            <a:solidFill>
              <a:schemeClr val="accent1"/>
            </a:solidFill>
            <a:round/>
          </a:ln>
          <a:effectLst/>
        </c:spPr>
        <c:marker>
          <c:symbol val="none"/>
        </c:marker>
      </c:pivotFmt>
      <c:pivotFmt>
        <c:idx val="912"/>
        <c:spPr>
          <a:solidFill>
            <a:schemeClr val="accent1"/>
          </a:solidFill>
          <a:ln w="28575" cap="rnd">
            <a:solidFill>
              <a:schemeClr val="accent1"/>
            </a:solidFill>
            <a:round/>
          </a:ln>
          <a:effectLst/>
        </c:spPr>
        <c:marker>
          <c:symbol val="none"/>
        </c:marker>
      </c:pivotFmt>
      <c:pivotFmt>
        <c:idx val="913"/>
        <c:spPr>
          <a:solidFill>
            <a:schemeClr val="accent1"/>
          </a:solidFill>
          <a:ln w="28575" cap="rnd">
            <a:solidFill>
              <a:schemeClr val="accent1"/>
            </a:solidFill>
            <a:round/>
          </a:ln>
          <a:effectLst/>
        </c:spPr>
        <c:marker>
          <c:symbol val="none"/>
        </c:marker>
      </c:pivotFmt>
      <c:pivotFmt>
        <c:idx val="914"/>
        <c:spPr>
          <a:solidFill>
            <a:schemeClr val="accent1"/>
          </a:solidFill>
          <a:ln w="28575" cap="rnd">
            <a:solidFill>
              <a:schemeClr val="accent1"/>
            </a:solidFill>
            <a:round/>
          </a:ln>
          <a:effectLst/>
        </c:spPr>
        <c:marker>
          <c:symbol val="none"/>
        </c:marker>
      </c:pivotFmt>
      <c:pivotFmt>
        <c:idx val="915"/>
        <c:spPr>
          <a:solidFill>
            <a:schemeClr val="accent1"/>
          </a:solidFill>
          <a:ln w="28575" cap="rnd">
            <a:solidFill>
              <a:schemeClr val="accent1"/>
            </a:solidFill>
            <a:round/>
          </a:ln>
          <a:effectLst/>
        </c:spPr>
        <c:marker>
          <c:symbol val="none"/>
        </c:marker>
      </c:pivotFmt>
      <c:pivotFmt>
        <c:idx val="916"/>
        <c:spPr>
          <a:solidFill>
            <a:schemeClr val="accent1"/>
          </a:solidFill>
          <a:ln w="28575" cap="rnd">
            <a:solidFill>
              <a:schemeClr val="accent1"/>
            </a:solidFill>
            <a:round/>
          </a:ln>
          <a:effectLst/>
        </c:spPr>
        <c:marker>
          <c:symbol val="none"/>
        </c:marker>
      </c:pivotFmt>
      <c:pivotFmt>
        <c:idx val="917"/>
        <c:spPr>
          <a:solidFill>
            <a:schemeClr val="accent1"/>
          </a:solidFill>
          <a:ln w="28575" cap="rnd">
            <a:solidFill>
              <a:schemeClr val="accent1"/>
            </a:solidFill>
            <a:round/>
          </a:ln>
          <a:effectLst/>
        </c:spPr>
        <c:marker>
          <c:symbol val="none"/>
        </c:marker>
      </c:pivotFmt>
      <c:pivotFmt>
        <c:idx val="918"/>
        <c:spPr>
          <a:solidFill>
            <a:schemeClr val="accent1"/>
          </a:solidFill>
          <a:ln w="28575" cap="rnd">
            <a:solidFill>
              <a:schemeClr val="accent1"/>
            </a:solidFill>
            <a:round/>
          </a:ln>
          <a:effectLst/>
        </c:spPr>
        <c:marker>
          <c:symbol val="none"/>
        </c:marker>
      </c:pivotFmt>
      <c:pivotFmt>
        <c:idx val="919"/>
        <c:spPr>
          <a:solidFill>
            <a:schemeClr val="accent1"/>
          </a:solidFill>
          <a:ln w="28575" cap="rnd">
            <a:solidFill>
              <a:schemeClr val="accent1"/>
            </a:solidFill>
            <a:round/>
          </a:ln>
          <a:effectLst/>
        </c:spPr>
        <c:marker>
          <c:symbol val="none"/>
        </c:marker>
      </c:pivotFmt>
      <c:pivotFmt>
        <c:idx val="920"/>
        <c:spPr>
          <a:solidFill>
            <a:schemeClr val="accent1"/>
          </a:solidFill>
          <a:ln w="28575" cap="rnd">
            <a:solidFill>
              <a:schemeClr val="accent1"/>
            </a:solidFill>
            <a:round/>
          </a:ln>
          <a:effectLst/>
        </c:spPr>
        <c:marker>
          <c:symbol val="none"/>
        </c:marker>
      </c:pivotFmt>
      <c:pivotFmt>
        <c:idx val="921"/>
        <c:spPr>
          <a:solidFill>
            <a:schemeClr val="accent1"/>
          </a:solidFill>
          <a:ln w="28575" cap="rnd">
            <a:solidFill>
              <a:schemeClr val="accent1"/>
            </a:solidFill>
            <a:round/>
          </a:ln>
          <a:effectLst/>
        </c:spPr>
        <c:marker>
          <c:symbol val="none"/>
        </c:marker>
      </c:pivotFmt>
      <c:pivotFmt>
        <c:idx val="922"/>
        <c:spPr>
          <a:solidFill>
            <a:schemeClr val="accent1"/>
          </a:solidFill>
          <a:ln w="28575" cap="rnd">
            <a:solidFill>
              <a:schemeClr val="accent1"/>
            </a:solidFill>
            <a:round/>
          </a:ln>
          <a:effectLst/>
        </c:spPr>
        <c:marker>
          <c:symbol val="none"/>
        </c:marker>
      </c:pivotFmt>
      <c:pivotFmt>
        <c:idx val="923"/>
        <c:spPr>
          <a:solidFill>
            <a:schemeClr val="accent1"/>
          </a:solidFill>
          <a:ln w="28575" cap="rnd">
            <a:solidFill>
              <a:schemeClr val="accent1"/>
            </a:solidFill>
            <a:round/>
          </a:ln>
          <a:effectLst/>
        </c:spPr>
        <c:marker>
          <c:symbol val="none"/>
        </c:marker>
      </c:pivotFmt>
      <c:pivotFmt>
        <c:idx val="924"/>
        <c:spPr>
          <a:solidFill>
            <a:schemeClr val="accent1"/>
          </a:solidFill>
          <a:ln w="28575" cap="rnd">
            <a:solidFill>
              <a:schemeClr val="accent1"/>
            </a:solidFill>
            <a:round/>
          </a:ln>
          <a:effectLst/>
        </c:spPr>
        <c:marker>
          <c:symbol val="none"/>
        </c:marker>
      </c:pivotFmt>
      <c:pivotFmt>
        <c:idx val="925"/>
        <c:spPr>
          <a:solidFill>
            <a:schemeClr val="accent1"/>
          </a:solidFill>
          <a:ln w="28575" cap="rnd">
            <a:solidFill>
              <a:schemeClr val="accent1"/>
            </a:solidFill>
            <a:round/>
          </a:ln>
          <a:effectLst/>
        </c:spPr>
        <c:marker>
          <c:symbol val="none"/>
        </c:marker>
      </c:pivotFmt>
      <c:pivotFmt>
        <c:idx val="926"/>
        <c:spPr>
          <a:solidFill>
            <a:schemeClr val="accent1"/>
          </a:solidFill>
          <a:ln w="28575" cap="rnd">
            <a:solidFill>
              <a:schemeClr val="accent1"/>
            </a:solidFill>
            <a:round/>
          </a:ln>
          <a:effectLst/>
        </c:spPr>
        <c:marker>
          <c:symbol val="none"/>
        </c:marker>
      </c:pivotFmt>
      <c:pivotFmt>
        <c:idx val="927"/>
        <c:spPr>
          <a:solidFill>
            <a:schemeClr val="accent1"/>
          </a:solidFill>
          <a:ln w="28575" cap="rnd">
            <a:solidFill>
              <a:schemeClr val="accent1"/>
            </a:solidFill>
            <a:round/>
          </a:ln>
          <a:effectLst/>
        </c:spPr>
        <c:marker>
          <c:symbol val="none"/>
        </c:marker>
      </c:pivotFmt>
      <c:pivotFmt>
        <c:idx val="928"/>
        <c:spPr>
          <a:solidFill>
            <a:schemeClr val="accent1"/>
          </a:solidFill>
          <a:ln w="28575" cap="rnd">
            <a:solidFill>
              <a:schemeClr val="accent1"/>
            </a:solidFill>
            <a:round/>
          </a:ln>
          <a:effectLst/>
        </c:spPr>
        <c:marker>
          <c:symbol val="none"/>
        </c:marker>
      </c:pivotFmt>
      <c:pivotFmt>
        <c:idx val="929"/>
        <c:spPr>
          <a:solidFill>
            <a:schemeClr val="accent1"/>
          </a:solidFill>
          <a:ln w="28575" cap="rnd">
            <a:solidFill>
              <a:schemeClr val="accent1"/>
            </a:solidFill>
            <a:round/>
          </a:ln>
          <a:effectLst/>
        </c:spPr>
        <c:marker>
          <c:symbol val="none"/>
        </c:marker>
      </c:pivotFmt>
      <c:pivotFmt>
        <c:idx val="930"/>
        <c:spPr>
          <a:solidFill>
            <a:schemeClr val="accent1"/>
          </a:solidFill>
          <a:ln w="28575" cap="rnd">
            <a:solidFill>
              <a:schemeClr val="accent1"/>
            </a:solidFill>
            <a:round/>
          </a:ln>
          <a:effectLst/>
        </c:spPr>
        <c:marker>
          <c:symbol val="none"/>
        </c:marker>
      </c:pivotFmt>
      <c:pivotFmt>
        <c:idx val="931"/>
        <c:spPr>
          <a:solidFill>
            <a:schemeClr val="accent1"/>
          </a:solidFill>
          <a:ln w="28575" cap="rnd">
            <a:solidFill>
              <a:schemeClr val="accent1"/>
            </a:solidFill>
            <a:round/>
          </a:ln>
          <a:effectLst/>
        </c:spPr>
        <c:marker>
          <c:symbol val="none"/>
        </c:marker>
      </c:pivotFmt>
      <c:pivotFmt>
        <c:idx val="932"/>
        <c:spPr>
          <a:solidFill>
            <a:schemeClr val="accent1"/>
          </a:solidFill>
          <a:ln w="28575" cap="rnd">
            <a:solidFill>
              <a:schemeClr val="accent1"/>
            </a:solidFill>
            <a:round/>
          </a:ln>
          <a:effectLst/>
        </c:spPr>
        <c:marker>
          <c:symbol val="none"/>
        </c:marker>
      </c:pivotFmt>
      <c:pivotFmt>
        <c:idx val="933"/>
        <c:spPr>
          <a:solidFill>
            <a:schemeClr val="accent1"/>
          </a:solidFill>
          <a:ln w="28575" cap="rnd">
            <a:solidFill>
              <a:schemeClr val="accent1"/>
            </a:solidFill>
            <a:round/>
          </a:ln>
          <a:effectLst/>
        </c:spPr>
        <c:marker>
          <c:symbol val="none"/>
        </c:marker>
      </c:pivotFmt>
      <c:pivotFmt>
        <c:idx val="934"/>
        <c:spPr>
          <a:solidFill>
            <a:schemeClr val="accent1"/>
          </a:solidFill>
          <a:ln w="28575" cap="rnd">
            <a:solidFill>
              <a:schemeClr val="accent1"/>
            </a:solidFill>
            <a:round/>
          </a:ln>
          <a:effectLst/>
        </c:spPr>
        <c:marker>
          <c:symbol val="none"/>
        </c:marker>
      </c:pivotFmt>
      <c:pivotFmt>
        <c:idx val="935"/>
        <c:spPr>
          <a:solidFill>
            <a:schemeClr val="accent1"/>
          </a:solidFill>
          <a:ln w="28575" cap="rnd">
            <a:solidFill>
              <a:schemeClr val="accent1"/>
            </a:solidFill>
            <a:round/>
          </a:ln>
          <a:effectLst/>
        </c:spPr>
        <c:marker>
          <c:symbol val="none"/>
        </c:marker>
      </c:pivotFmt>
      <c:pivotFmt>
        <c:idx val="936"/>
        <c:spPr>
          <a:solidFill>
            <a:schemeClr val="accent1"/>
          </a:solidFill>
          <a:ln w="28575" cap="rnd">
            <a:solidFill>
              <a:schemeClr val="accent1"/>
            </a:solidFill>
            <a:round/>
          </a:ln>
          <a:effectLst/>
        </c:spPr>
        <c:marker>
          <c:symbol val="none"/>
        </c:marker>
      </c:pivotFmt>
      <c:pivotFmt>
        <c:idx val="937"/>
        <c:spPr>
          <a:solidFill>
            <a:schemeClr val="accent1"/>
          </a:solidFill>
          <a:ln w="28575" cap="rnd">
            <a:solidFill>
              <a:schemeClr val="accent1"/>
            </a:solidFill>
            <a:round/>
          </a:ln>
          <a:effectLst/>
        </c:spPr>
        <c:marker>
          <c:symbol val="none"/>
        </c:marker>
      </c:pivotFmt>
      <c:pivotFmt>
        <c:idx val="938"/>
        <c:spPr>
          <a:solidFill>
            <a:schemeClr val="accent1"/>
          </a:solidFill>
          <a:ln w="28575" cap="rnd">
            <a:solidFill>
              <a:schemeClr val="accent1"/>
            </a:solidFill>
            <a:round/>
          </a:ln>
          <a:effectLst/>
        </c:spPr>
        <c:marker>
          <c:symbol val="none"/>
        </c:marker>
      </c:pivotFmt>
      <c:pivotFmt>
        <c:idx val="939"/>
        <c:spPr>
          <a:solidFill>
            <a:schemeClr val="accent1"/>
          </a:solidFill>
          <a:ln w="28575" cap="rnd">
            <a:solidFill>
              <a:schemeClr val="accent1"/>
            </a:solidFill>
            <a:round/>
          </a:ln>
          <a:effectLst/>
        </c:spPr>
        <c:marker>
          <c:symbol val="none"/>
        </c:marker>
      </c:pivotFmt>
      <c:pivotFmt>
        <c:idx val="940"/>
        <c:spPr>
          <a:solidFill>
            <a:schemeClr val="accent1"/>
          </a:solidFill>
          <a:ln w="28575" cap="rnd">
            <a:solidFill>
              <a:schemeClr val="accent1"/>
            </a:solidFill>
            <a:round/>
          </a:ln>
          <a:effectLst/>
        </c:spPr>
        <c:marker>
          <c:symbol val="none"/>
        </c:marker>
      </c:pivotFmt>
      <c:pivotFmt>
        <c:idx val="941"/>
        <c:spPr>
          <a:solidFill>
            <a:schemeClr val="accent1"/>
          </a:solidFill>
          <a:ln w="28575" cap="rnd">
            <a:solidFill>
              <a:schemeClr val="accent1"/>
            </a:solidFill>
            <a:round/>
          </a:ln>
          <a:effectLst/>
        </c:spPr>
        <c:marker>
          <c:symbol val="none"/>
        </c:marker>
      </c:pivotFmt>
      <c:pivotFmt>
        <c:idx val="942"/>
        <c:spPr>
          <a:solidFill>
            <a:schemeClr val="accent1"/>
          </a:solidFill>
          <a:ln w="28575" cap="rnd">
            <a:solidFill>
              <a:schemeClr val="accent1"/>
            </a:solidFill>
            <a:round/>
          </a:ln>
          <a:effectLst/>
        </c:spPr>
        <c:marker>
          <c:symbol val="none"/>
        </c:marker>
      </c:pivotFmt>
      <c:pivotFmt>
        <c:idx val="943"/>
        <c:spPr>
          <a:solidFill>
            <a:schemeClr val="accent1"/>
          </a:solidFill>
          <a:ln w="28575" cap="rnd">
            <a:solidFill>
              <a:schemeClr val="accent1"/>
            </a:solidFill>
            <a:round/>
          </a:ln>
          <a:effectLst/>
        </c:spPr>
        <c:marker>
          <c:symbol val="none"/>
        </c:marker>
      </c:pivotFmt>
      <c:pivotFmt>
        <c:idx val="944"/>
        <c:spPr>
          <a:solidFill>
            <a:schemeClr val="accent1"/>
          </a:solidFill>
          <a:ln w="28575" cap="rnd">
            <a:solidFill>
              <a:schemeClr val="accent1"/>
            </a:solidFill>
            <a:round/>
          </a:ln>
          <a:effectLst/>
        </c:spPr>
        <c:marker>
          <c:symbol val="none"/>
        </c:marker>
      </c:pivotFmt>
      <c:pivotFmt>
        <c:idx val="945"/>
        <c:spPr>
          <a:solidFill>
            <a:schemeClr val="accent1"/>
          </a:solidFill>
          <a:ln w="28575" cap="rnd">
            <a:solidFill>
              <a:schemeClr val="accent1"/>
            </a:solidFill>
            <a:round/>
          </a:ln>
          <a:effectLst/>
        </c:spPr>
        <c:marker>
          <c:symbol val="none"/>
        </c:marker>
      </c:pivotFmt>
      <c:pivotFmt>
        <c:idx val="946"/>
        <c:spPr>
          <a:solidFill>
            <a:schemeClr val="accent1"/>
          </a:solidFill>
          <a:ln w="28575" cap="rnd">
            <a:solidFill>
              <a:schemeClr val="accent1"/>
            </a:solidFill>
            <a:round/>
          </a:ln>
          <a:effectLst/>
        </c:spPr>
        <c:marker>
          <c:symbol val="none"/>
        </c:marker>
      </c:pivotFmt>
      <c:pivotFmt>
        <c:idx val="947"/>
        <c:spPr>
          <a:solidFill>
            <a:schemeClr val="accent1"/>
          </a:solidFill>
          <a:ln w="28575" cap="rnd">
            <a:solidFill>
              <a:schemeClr val="accent1"/>
            </a:solidFill>
            <a:round/>
          </a:ln>
          <a:effectLst/>
        </c:spPr>
        <c:marker>
          <c:symbol val="none"/>
        </c:marker>
      </c:pivotFmt>
      <c:pivotFmt>
        <c:idx val="948"/>
        <c:spPr>
          <a:solidFill>
            <a:schemeClr val="accent1"/>
          </a:solidFill>
          <a:ln w="28575" cap="rnd">
            <a:solidFill>
              <a:schemeClr val="accent1"/>
            </a:solidFill>
            <a:round/>
          </a:ln>
          <a:effectLst/>
        </c:spPr>
        <c:marker>
          <c:symbol val="none"/>
        </c:marker>
      </c:pivotFmt>
      <c:pivotFmt>
        <c:idx val="949"/>
        <c:spPr>
          <a:solidFill>
            <a:schemeClr val="accent1"/>
          </a:solidFill>
          <a:ln w="28575" cap="rnd">
            <a:solidFill>
              <a:schemeClr val="accent1"/>
            </a:solidFill>
            <a:round/>
          </a:ln>
          <a:effectLst/>
        </c:spPr>
        <c:marker>
          <c:symbol val="none"/>
        </c:marker>
      </c:pivotFmt>
      <c:pivotFmt>
        <c:idx val="950"/>
        <c:spPr>
          <a:solidFill>
            <a:schemeClr val="accent1"/>
          </a:solidFill>
          <a:ln w="28575" cap="rnd">
            <a:solidFill>
              <a:schemeClr val="accent1"/>
            </a:solidFill>
            <a:round/>
          </a:ln>
          <a:effectLst/>
        </c:spPr>
        <c:marker>
          <c:symbol val="none"/>
        </c:marker>
      </c:pivotFmt>
      <c:pivotFmt>
        <c:idx val="951"/>
        <c:spPr>
          <a:solidFill>
            <a:schemeClr val="accent1"/>
          </a:solidFill>
          <a:ln w="28575" cap="rnd">
            <a:solidFill>
              <a:schemeClr val="accent1"/>
            </a:solidFill>
            <a:round/>
          </a:ln>
          <a:effectLst/>
        </c:spPr>
        <c:marker>
          <c:symbol val="none"/>
        </c:marker>
      </c:pivotFmt>
      <c:pivotFmt>
        <c:idx val="952"/>
        <c:spPr>
          <a:solidFill>
            <a:schemeClr val="accent1"/>
          </a:solidFill>
          <a:ln w="28575" cap="rnd">
            <a:solidFill>
              <a:schemeClr val="accent1"/>
            </a:solidFill>
            <a:round/>
          </a:ln>
          <a:effectLst/>
        </c:spPr>
        <c:marker>
          <c:symbol val="none"/>
        </c:marker>
      </c:pivotFmt>
      <c:pivotFmt>
        <c:idx val="953"/>
        <c:spPr>
          <a:solidFill>
            <a:schemeClr val="accent1"/>
          </a:solidFill>
          <a:ln w="28575" cap="rnd">
            <a:solidFill>
              <a:schemeClr val="accent1"/>
            </a:solidFill>
            <a:round/>
          </a:ln>
          <a:effectLst/>
        </c:spPr>
        <c:marker>
          <c:symbol val="none"/>
        </c:marker>
      </c:pivotFmt>
      <c:pivotFmt>
        <c:idx val="954"/>
        <c:spPr>
          <a:solidFill>
            <a:schemeClr val="accent1"/>
          </a:solidFill>
          <a:ln w="28575" cap="rnd">
            <a:solidFill>
              <a:schemeClr val="accent1"/>
            </a:solidFill>
            <a:round/>
          </a:ln>
          <a:effectLst/>
        </c:spPr>
        <c:marker>
          <c:symbol val="none"/>
        </c:marker>
      </c:pivotFmt>
      <c:pivotFmt>
        <c:idx val="955"/>
        <c:spPr>
          <a:solidFill>
            <a:schemeClr val="accent1"/>
          </a:solidFill>
          <a:ln w="28575" cap="rnd">
            <a:solidFill>
              <a:schemeClr val="accent1"/>
            </a:solidFill>
            <a:round/>
          </a:ln>
          <a:effectLst/>
        </c:spPr>
        <c:marker>
          <c:symbol val="none"/>
        </c:marker>
      </c:pivotFmt>
      <c:pivotFmt>
        <c:idx val="9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41"/>
        <c:spPr>
          <a:solidFill>
            <a:schemeClr val="accent1"/>
          </a:solidFill>
          <a:ln w="28575" cap="rnd">
            <a:solidFill>
              <a:schemeClr val="accent1"/>
            </a:solidFill>
            <a:round/>
          </a:ln>
          <a:effectLst/>
        </c:spPr>
        <c:marker>
          <c:symbol val="none"/>
        </c:marker>
      </c:pivotFmt>
      <c:pivotFmt>
        <c:idx val="1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76915753993352E-2"/>
          <c:y val="3.9496478698045519E-2"/>
          <c:w val="0.84140496731627568"/>
          <c:h val="0.54242021970809995"/>
        </c:manualLayout>
      </c:layout>
      <c:lineChart>
        <c:grouping val="standard"/>
        <c:varyColors val="0"/>
        <c:ser>
          <c:idx val="0"/>
          <c:order val="0"/>
          <c:tx>
            <c:strRef>
              <c:f>Sheet2!$B$3:$B$4</c:f>
              <c:strCache>
                <c:ptCount val="1"/>
                <c:pt idx="0">
                  <c:v>Non-seasonal</c:v>
                </c:pt>
              </c:strCache>
            </c:strRef>
          </c:tx>
          <c:spPr>
            <a:ln w="28575" cap="rnd">
              <a:solidFill>
                <a:schemeClr val="accent1"/>
              </a:solidFill>
              <a:round/>
            </a:ln>
            <a:effectLst/>
          </c:spPr>
          <c:marker>
            <c:symbol val="none"/>
          </c:marker>
          <c:cat>
            <c:multiLvlStrRef>
              <c:f>Sheet2!$A$5:$A$12</c:f>
              <c:multiLvlStrCache>
                <c:ptCount val="6"/>
                <c:lvl>
                  <c:pt idx="0">
                    <c:v>:50</c:v>
                  </c:pt>
                  <c:pt idx="1">
                    <c:v>:51</c:v>
                  </c:pt>
                  <c:pt idx="2">
                    <c:v>:54</c:v>
                  </c:pt>
                  <c:pt idx="3">
                    <c:v>:56</c:v>
                  </c:pt>
                  <c:pt idx="4">
                    <c:v>:00</c:v>
                  </c:pt>
                  <c:pt idx="5">
                    <c:v>:10</c:v>
                  </c:pt>
                </c:lvl>
                <c:lvl>
                  <c:pt idx="0">
                    <c:v>08</c:v>
                  </c:pt>
                  <c:pt idx="4">
                    <c:v>09</c:v>
                  </c:pt>
                </c:lvl>
              </c:multiLvlStrCache>
            </c:multiLvlStrRef>
          </c:cat>
          <c:val>
            <c:numRef>
              <c:f>Sheet2!$B$5:$B$12</c:f>
              <c:numCache>
                <c:formatCode>0</c:formatCode>
                <c:ptCount val="6"/>
                <c:pt idx="0">
                  <c:v>67845</c:v>
                </c:pt>
                <c:pt idx="1">
                  <c:v>27908</c:v>
                </c:pt>
                <c:pt idx="2">
                  <c:v>8246</c:v>
                </c:pt>
                <c:pt idx="3">
                  <c:v>14933</c:v>
                </c:pt>
                <c:pt idx="4">
                  <c:v>38299</c:v>
                </c:pt>
                <c:pt idx="5">
                  <c:v>18091</c:v>
                </c:pt>
              </c:numCache>
            </c:numRef>
          </c:val>
          <c:smooth val="0"/>
          <c:extLst>
            <c:ext xmlns:c16="http://schemas.microsoft.com/office/drawing/2014/chart" uri="{C3380CC4-5D6E-409C-BE32-E72D297353CC}">
              <c16:uniqueId val="{00000284-0BD6-4FA4-868D-1B9AC1ABA1D4}"/>
            </c:ext>
          </c:extLst>
        </c:ser>
        <c:ser>
          <c:idx val="1"/>
          <c:order val="1"/>
          <c:tx>
            <c:strRef>
              <c:f>Sheet2!$C$3:$C$4</c:f>
              <c:strCache>
                <c:ptCount val="1"/>
                <c:pt idx="0">
                  <c:v>Seasonal</c:v>
                </c:pt>
              </c:strCache>
            </c:strRef>
          </c:tx>
          <c:spPr>
            <a:ln w="28575" cap="rnd">
              <a:solidFill>
                <a:schemeClr val="accent2"/>
              </a:solidFill>
              <a:round/>
            </a:ln>
            <a:effectLst/>
          </c:spPr>
          <c:marker>
            <c:symbol val="none"/>
          </c:marker>
          <c:cat>
            <c:multiLvlStrRef>
              <c:f>Sheet2!$A$5:$A$12</c:f>
              <c:multiLvlStrCache>
                <c:ptCount val="6"/>
                <c:lvl>
                  <c:pt idx="0">
                    <c:v>:50</c:v>
                  </c:pt>
                  <c:pt idx="1">
                    <c:v>:51</c:v>
                  </c:pt>
                  <c:pt idx="2">
                    <c:v>:54</c:v>
                  </c:pt>
                  <c:pt idx="3">
                    <c:v>:56</c:v>
                  </c:pt>
                  <c:pt idx="4">
                    <c:v>:00</c:v>
                  </c:pt>
                  <c:pt idx="5">
                    <c:v>:10</c:v>
                  </c:pt>
                </c:lvl>
                <c:lvl>
                  <c:pt idx="0">
                    <c:v>08</c:v>
                  </c:pt>
                  <c:pt idx="4">
                    <c:v>09</c:v>
                  </c:pt>
                </c:lvl>
              </c:multiLvlStrCache>
            </c:multiLvlStrRef>
          </c:cat>
          <c:val>
            <c:numRef>
              <c:f>Sheet2!$C$5:$C$12</c:f>
              <c:numCache>
                <c:formatCode>0</c:formatCode>
                <c:ptCount val="6"/>
                <c:pt idx="0">
                  <c:v>61873</c:v>
                </c:pt>
                <c:pt idx="1">
                  <c:v>28709</c:v>
                </c:pt>
                <c:pt idx="2">
                  <c:v>6876</c:v>
                </c:pt>
                <c:pt idx="3">
                  <c:v>8932</c:v>
                </c:pt>
                <c:pt idx="4">
                  <c:v>15584</c:v>
                </c:pt>
                <c:pt idx="5">
                  <c:v>39576</c:v>
                </c:pt>
              </c:numCache>
            </c:numRef>
          </c:val>
          <c:smooth val="0"/>
          <c:extLst>
            <c:ext xmlns:c16="http://schemas.microsoft.com/office/drawing/2014/chart" uri="{C3380CC4-5D6E-409C-BE32-E72D297353CC}">
              <c16:uniqueId val="{0000033D-0BD6-4FA4-868D-1B9AC1ABA1D4}"/>
            </c:ext>
          </c:extLst>
        </c:ser>
        <c:dLbls>
          <c:showLegendKey val="0"/>
          <c:showVal val="0"/>
          <c:showCatName val="0"/>
          <c:showSerName val="0"/>
          <c:showPercent val="0"/>
          <c:showBubbleSize val="0"/>
        </c:dLbls>
        <c:smooth val="0"/>
        <c:axId val="1454261711"/>
        <c:axId val="1454260271"/>
      </c:lineChart>
      <c:catAx>
        <c:axId val="14542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54260271"/>
        <c:crosses val="autoZero"/>
        <c:auto val="1"/>
        <c:lblAlgn val="ctr"/>
        <c:lblOffset val="100"/>
        <c:noMultiLvlLbl val="0"/>
      </c:catAx>
      <c:valAx>
        <c:axId val="1454260271"/>
        <c:scaling>
          <c:orientation val="minMax"/>
          <c:max val="65568"/>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5426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[Zara-data.xlsx]Sheet5!PivotTable5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Revenue by Category and Percentage Contribution to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Revenue</c:v>
                </c:pt>
              </c:strCache>
            </c:strRef>
          </c:tx>
          <c:spPr>
            <a:solidFill>
              <a:schemeClr val="accent1"/>
            </a:solidFill>
            <a:ln>
              <a:noFill/>
            </a:ln>
            <a:effectLst/>
          </c:spPr>
          <c:invertIfNegative val="0"/>
          <c:cat>
            <c:strRef>
              <c:f>Sheet5!$A$4:$A$8</c:f>
              <c:strCache>
                <c:ptCount val="5"/>
                <c:pt idx="0">
                  <c:v>jackets</c:v>
                </c:pt>
                <c:pt idx="1">
                  <c:v>shoes</c:v>
                </c:pt>
                <c:pt idx="2">
                  <c:v>sweaters</c:v>
                </c:pt>
                <c:pt idx="3">
                  <c:v>t-shirts</c:v>
                </c:pt>
                <c:pt idx="4">
                  <c:v>jeans</c:v>
                </c:pt>
              </c:strCache>
            </c:strRef>
          </c:cat>
          <c:val>
            <c:numRef>
              <c:f>Sheet5!$B$4:$B$8</c:f>
              <c:numCache>
                <c:formatCode>General</c:formatCode>
                <c:ptCount val="5"/>
                <c:pt idx="0">
                  <c:v>19883423.41</c:v>
                </c:pt>
                <c:pt idx="1">
                  <c:v>3453749.9299999997</c:v>
                </c:pt>
                <c:pt idx="2">
                  <c:v>3157687.58</c:v>
                </c:pt>
                <c:pt idx="3">
                  <c:v>913189.49999999988</c:v>
                </c:pt>
                <c:pt idx="4">
                  <c:v>604913.85</c:v>
                </c:pt>
              </c:numCache>
            </c:numRef>
          </c:val>
          <c:extLst>
            <c:ext xmlns:c16="http://schemas.microsoft.com/office/drawing/2014/chart" uri="{C3380CC4-5D6E-409C-BE32-E72D297353CC}">
              <c16:uniqueId val="{00000000-F5E5-4491-85EF-8FC9067D660C}"/>
            </c:ext>
          </c:extLst>
        </c:ser>
        <c:dLbls>
          <c:showLegendKey val="0"/>
          <c:showVal val="0"/>
          <c:showCatName val="0"/>
          <c:showSerName val="0"/>
          <c:showPercent val="0"/>
          <c:showBubbleSize val="0"/>
        </c:dLbls>
        <c:gapWidth val="269"/>
        <c:overlap val="-27"/>
        <c:axId val="1598699407"/>
        <c:axId val="1598695087"/>
      </c:barChart>
      <c:lineChart>
        <c:grouping val="standard"/>
        <c:varyColors val="0"/>
        <c:ser>
          <c:idx val="1"/>
          <c:order val="1"/>
          <c:tx>
            <c:strRef>
              <c:f>Sheet5!$C$3</c:f>
              <c:strCache>
                <c:ptCount val="1"/>
                <c:pt idx="0">
                  <c:v>Percentage of grand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Sheet5!$A$4:$A$8</c:f>
              <c:strCache>
                <c:ptCount val="5"/>
                <c:pt idx="0">
                  <c:v>jackets</c:v>
                </c:pt>
                <c:pt idx="1">
                  <c:v>shoes</c:v>
                </c:pt>
                <c:pt idx="2">
                  <c:v>sweaters</c:v>
                </c:pt>
                <c:pt idx="3">
                  <c:v>t-shirts</c:v>
                </c:pt>
                <c:pt idx="4">
                  <c:v>jeans</c:v>
                </c:pt>
              </c:strCache>
            </c:strRef>
          </c:cat>
          <c:val>
            <c:numRef>
              <c:f>Sheet5!$C$4:$C$8</c:f>
              <c:numCache>
                <c:formatCode>0.00%</c:formatCode>
                <c:ptCount val="5"/>
                <c:pt idx="0">
                  <c:v>0.70979362335080709</c:v>
                </c:pt>
                <c:pt idx="1">
                  <c:v>0.12329112680512476</c:v>
                </c:pt>
                <c:pt idx="2">
                  <c:v>0.11272236488666323</c:v>
                </c:pt>
                <c:pt idx="3">
                  <c:v>3.2598817147600628E-2</c:v>
                </c:pt>
                <c:pt idx="4">
                  <c:v>2.1594067809804118E-2</c:v>
                </c:pt>
              </c:numCache>
            </c:numRef>
          </c:val>
          <c:smooth val="0"/>
          <c:extLst>
            <c:ext xmlns:c16="http://schemas.microsoft.com/office/drawing/2014/chart" uri="{C3380CC4-5D6E-409C-BE32-E72D297353CC}">
              <c16:uniqueId val="{00000001-F5E5-4491-85EF-8FC9067D660C}"/>
            </c:ext>
          </c:extLst>
        </c:ser>
        <c:dLbls>
          <c:showLegendKey val="0"/>
          <c:showVal val="0"/>
          <c:showCatName val="0"/>
          <c:showSerName val="0"/>
          <c:showPercent val="0"/>
          <c:showBubbleSize val="0"/>
        </c:dLbls>
        <c:marker val="1"/>
        <c:smooth val="0"/>
        <c:axId val="1701951088"/>
        <c:axId val="1701951568"/>
      </c:lineChart>
      <c:catAx>
        <c:axId val="170195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01951568"/>
        <c:crosses val="autoZero"/>
        <c:auto val="1"/>
        <c:lblAlgn val="ctr"/>
        <c:lblOffset val="100"/>
        <c:noMultiLvlLbl val="0"/>
      </c:catAx>
      <c:valAx>
        <c:axId val="170195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01951088"/>
        <c:crosses val="autoZero"/>
        <c:crossBetween val="between"/>
      </c:valAx>
      <c:valAx>
        <c:axId val="159869508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98699407"/>
        <c:crosses val="max"/>
        <c:crossBetween val="between"/>
      </c:valAx>
      <c:catAx>
        <c:axId val="1598699407"/>
        <c:scaling>
          <c:orientation val="minMax"/>
        </c:scaling>
        <c:delete val="1"/>
        <c:axPos val="b"/>
        <c:numFmt formatCode="General" sourceLinked="1"/>
        <c:majorTickMark val="none"/>
        <c:minorTickMark val="none"/>
        <c:tickLblPos val="nextTo"/>
        <c:crossAx val="15986950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[Zara-data.xlsx]Sheet6!PivotTable6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b="1">
                <a:effectLst/>
              </a:rPr>
              <a:t>Sales Performance by Clothing Category: Promotional vs. Non‑Promotional Activity</a:t>
            </a:r>
            <a:endParaRPr lang="pl-P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959329706958743E-2"/>
          <c:y val="8.6636578638633929E-2"/>
          <c:w val="0.83751174308600063"/>
          <c:h val="0.76809037331431096"/>
        </c:manualLayout>
      </c:layout>
      <c:barChart>
        <c:barDir val="col"/>
        <c:grouping val="clustered"/>
        <c:varyColors val="0"/>
        <c:ser>
          <c:idx val="0"/>
          <c:order val="0"/>
          <c:tx>
            <c:strRef>
              <c:f>Sheet6!$B$3:$B$4</c:f>
              <c:strCache>
                <c:ptCount val="1"/>
                <c:pt idx="0">
                  <c:v>Non-promotional</c:v>
                </c:pt>
              </c:strCache>
            </c:strRef>
          </c:tx>
          <c:spPr>
            <a:solidFill>
              <a:schemeClr val="accent1"/>
            </a:solidFill>
            <a:ln>
              <a:noFill/>
            </a:ln>
            <a:effectLst/>
          </c:spPr>
          <c:invertIfNegative val="0"/>
          <c:cat>
            <c:strRef>
              <c:f>Sheet6!$A$5:$A$9</c:f>
              <c:strCache>
                <c:ptCount val="5"/>
                <c:pt idx="0">
                  <c:v>jackets</c:v>
                </c:pt>
                <c:pt idx="1">
                  <c:v>jeans</c:v>
                </c:pt>
                <c:pt idx="2">
                  <c:v>shoes</c:v>
                </c:pt>
                <c:pt idx="3">
                  <c:v>sweaters</c:v>
                </c:pt>
                <c:pt idx="4">
                  <c:v>t-shirts</c:v>
                </c:pt>
              </c:strCache>
            </c:strRef>
          </c:cat>
          <c:val>
            <c:numRef>
              <c:f>Sheet6!$B$5:$B$9</c:f>
              <c:numCache>
                <c:formatCode>0</c:formatCode>
                <c:ptCount val="5"/>
                <c:pt idx="0">
                  <c:v>92624</c:v>
                </c:pt>
                <c:pt idx="1">
                  <c:v>7185</c:v>
                </c:pt>
                <c:pt idx="2">
                  <c:v>28560</c:v>
                </c:pt>
                <c:pt idx="3">
                  <c:v>29792</c:v>
                </c:pt>
                <c:pt idx="4">
                  <c:v>14267</c:v>
                </c:pt>
              </c:numCache>
            </c:numRef>
          </c:val>
          <c:extLst>
            <c:ext xmlns:c16="http://schemas.microsoft.com/office/drawing/2014/chart" uri="{C3380CC4-5D6E-409C-BE32-E72D297353CC}">
              <c16:uniqueId val="{00000000-81F6-4BA1-9600-168BAA376AC5}"/>
            </c:ext>
          </c:extLst>
        </c:ser>
        <c:ser>
          <c:idx val="1"/>
          <c:order val="1"/>
          <c:tx>
            <c:strRef>
              <c:f>Sheet6!$C$3:$C$4</c:f>
              <c:strCache>
                <c:ptCount val="1"/>
                <c:pt idx="0">
                  <c:v>Promotional</c:v>
                </c:pt>
              </c:strCache>
            </c:strRef>
          </c:tx>
          <c:spPr>
            <a:solidFill>
              <a:schemeClr val="accent2"/>
            </a:solidFill>
            <a:ln>
              <a:noFill/>
            </a:ln>
            <a:effectLst/>
          </c:spPr>
          <c:invertIfNegative val="0"/>
          <c:cat>
            <c:strRef>
              <c:f>Sheet6!$A$5:$A$9</c:f>
              <c:strCache>
                <c:ptCount val="5"/>
                <c:pt idx="0">
                  <c:v>jackets</c:v>
                </c:pt>
                <c:pt idx="1">
                  <c:v>jeans</c:v>
                </c:pt>
                <c:pt idx="2">
                  <c:v>shoes</c:v>
                </c:pt>
                <c:pt idx="3">
                  <c:v>sweaters</c:v>
                </c:pt>
                <c:pt idx="4">
                  <c:v>t-shirts</c:v>
                </c:pt>
              </c:strCache>
            </c:strRef>
          </c:cat>
          <c:val>
            <c:numRef>
              <c:f>Sheet6!$C$5:$C$9</c:f>
              <c:numCache>
                <c:formatCode>0</c:formatCode>
                <c:ptCount val="5"/>
                <c:pt idx="0">
                  <c:v>93711</c:v>
                </c:pt>
                <c:pt idx="1">
                  <c:v>3243</c:v>
                </c:pt>
                <c:pt idx="2">
                  <c:v>25323</c:v>
                </c:pt>
                <c:pt idx="3">
                  <c:v>32569</c:v>
                </c:pt>
                <c:pt idx="4">
                  <c:v>9598</c:v>
                </c:pt>
              </c:numCache>
            </c:numRef>
          </c:val>
          <c:extLst>
            <c:ext xmlns:c16="http://schemas.microsoft.com/office/drawing/2014/chart" uri="{C3380CC4-5D6E-409C-BE32-E72D297353CC}">
              <c16:uniqueId val="{00000001-81F6-4BA1-9600-168BAA376AC5}"/>
            </c:ext>
          </c:extLst>
        </c:ser>
        <c:dLbls>
          <c:showLegendKey val="0"/>
          <c:showVal val="0"/>
          <c:showCatName val="0"/>
          <c:showSerName val="0"/>
          <c:showPercent val="0"/>
          <c:showBubbleSize val="0"/>
        </c:dLbls>
        <c:gapWidth val="219"/>
        <c:overlap val="-27"/>
        <c:axId val="1784800256"/>
        <c:axId val="1784797856"/>
      </c:barChart>
      <c:catAx>
        <c:axId val="178480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84797856"/>
        <c:crosses val="autoZero"/>
        <c:auto val="1"/>
        <c:lblAlgn val="ctr"/>
        <c:lblOffset val="100"/>
        <c:noMultiLvlLbl val="0"/>
      </c:catAx>
      <c:valAx>
        <c:axId val="1784797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8480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[Zara-data.xlsx]Sheet5!PivotTable5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l-PL"/>
              <a:t>Revenue by Category and Percentage Contribution to Total Revenue</a:t>
            </a:r>
          </a:p>
          <a:p>
            <a:pPr>
              <a:defRPr/>
            </a:pPr>
            <a:endParaRPr lang="pl-PL"/>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l-PL"/>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s>
    <c:plotArea>
      <c:layout/>
      <c:barChart>
        <c:barDir val="col"/>
        <c:grouping val="clustered"/>
        <c:varyColors val="0"/>
        <c:ser>
          <c:idx val="0"/>
          <c:order val="0"/>
          <c:tx>
            <c:strRef>
              <c:f>Sheet5!$B$3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Sheet5!$A$4:$A$8</c:f>
              <c:strCache>
                <c:ptCount val="5"/>
                <c:pt idx="0">
                  <c:v>jackets</c:v>
                </c:pt>
                <c:pt idx="1">
                  <c:v>shoes</c:v>
                </c:pt>
                <c:pt idx="2">
                  <c:v>sweaters</c:v>
                </c:pt>
                <c:pt idx="3">
                  <c:v>t-shirts</c:v>
                </c:pt>
                <c:pt idx="4">
                  <c:v>jeans</c:v>
                </c:pt>
              </c:strCache>
            </c:strRef>
          </c:cat>
          <c:val>
            <c:numRef>
              <c:f>Sheet5!$B$4:$B$8</c:f>
              <c:numCache>
                <c:formatCode>General</c:formatCode>
                <c:ptCount val="5"/>
                <c:pt idx="0">
                  <c:v>19883423.41</c:v>
                </c:pt>
                <c:pt idx="1">
                  <c:v>3453749.9299999997</c:v>
                </c:pt>
                <c:pt idx="2">
                  <c:v>3157687.58</c:v>
                </c:pt>
                <c:pt idx="3">
                  <c:v>913189.49999999988</c:v>
                </c:pt>
                <c:pt idx="4">
                  <c:v>604913.85</c:v>
                </c:pt>
              </c:numCache>
            </c:numRef>
          </c:val>
          <c:extLst>
            <c:ext xmlns:c16="http://schemas.microsoft.com/office/drawing/2014/chart" uri="{C3380CC4-5D6E-409C-BE32-E72D297353CC}">
              <c16:uniqueId val="{00000000-6A5B-435F-A397-2E07B73B491E}"/>
            </c:ext>
          </c:extLst>
        </c:ser>
        <c:dLbls>
          <c:showLegendKey val="0"/>
          <c:showVal val="0"/>
          <c:showCatName val="0"/>
          <c:showSerName val="0"/>
          <c:showPercent val="0"/>
          <c:showBubbleSize val="0"/>
        </c:dLbls>
        <c:gapWidth val="219"/>
        <c:overlap val="-27"/>
        <c:axId val="1598699407"/>
        <c:axId val="1598695087"/>
      </c:barChart>
      <c:lineChart>
        <c:grouping val="standard"/>
        <c:varyColors val="0"/>
        <c:ser>
          <c:idx val="1"/>
          <c:order val="1"/>
          <c:tx>
            <c:strRef>
              <c:f>Sheet5!$C$3</c:f>
              <c:strCache>
                <c:ptCount val="1"/>
                <c:pt idx="0">
                  <c:v>Percentage of grand 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Sheet5!$A$4:$A$8</c:f>
              <c:strCache>
                <c:ptCount val="5"/>
                <c:pt idx="0">
                  <c:v>jackets</c:v>
                </c:pt>
                <c:pt idx="1">
                  <c:v>shoes</c:v>
                </c:pt>
                <c:pt idx="2">
                  <c:v>sweaters</c:v>
                </c:pt>
                <c:pt idx="3">
                  <c:v>t-shirts</c:v>
                </c:pt>
                <c:pt idx="4">
                  <c:v>jeans</c:v>
                </c:pt>
              </c:strCache>
            </c:strRef>
          </c:cat>
          <c:val>
            <c:numRef>
              <c:f>Sheet5!$C$4:$C$8</c:f>
              <c:numCache>
                <c:formatCode>0.00%</c:formatCode>
                <c:ptCount val="5"/>
                <c:pt idx="0">
                  <c:v>0.70979362335080709</c:v>
                </c:pt>
                <c:pt idx="1">
                  <c:v>0.12329112680512476</c:v>
                </c:pt>
                <c:pt idx="2">
                  <c:v>0.11272236488666323</c:v>
                </c:pt>
                <c:pt idx="3">
                  <c:v>3.2598817147600628E-2</c:v>
                </c:pt>
                <c:pt idx="4">
                  <c:v>2.1594067809804118E-2</c:v>
                </c:pt>
              </c:numCache>
            </c:numRef>
          </c:val>
          <c:smooth val="0"/>
          <c:extLst>
            <c:ext xmlns:c16="http://schemas.microsoft.com/office/drawing/2014/chart" uri="{C3380CC4-5D6E-409C-BE32-E72D297353CC}">
              <c16:uniqueId val="{00000001-6A5B-435F-A397-2E07B73B491E}"/>
            </c:ext>
          </c:extLst>
        </c:ser>
        <c:dLbls>
          <c:showLegendKey val="0"/>
          <c:showVal val="0"/>
          <c:showCatName val="0"/>
          <c:showSerName val="0"/>
          <c:showPercent val="0"/>
          <c:showBubbleSize val="0"/>
        </c:dLbls>
        <c:marker val="1"/>
        <c:smooth val="0"/>
        <c:axId val="1701951088"/>
        <c:axId val="1701951568"/>
      </c:lineChart>
      <c:catAx>
        <c:axId val="1701951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crossAx val="1701951568"/>
        <c:crosses val="autoZero"/>
        <c:auto val="1"/>
        <c:lblAlgn val="ctr"/>
        <c:lblOffset val="100"/>
        <c:noMultiLvlLbl val="0"/>
      </c:catAx>
      <c:valAx>
        <c:axId val="17019515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crossAx val="1701951088"/>
        <c:crosses val="autoZero"/>
        <c:crossBetween val="between"/>
      </c:valAx>
      <c:valAx>
        <c:axId val="159869508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crossAx val="1598699407"/>
        <c:crosses val="max"/>
        <c:crossBetween val="between"/>
      </c:valAx>
      <c:catAx>
        <c:axId val="1598699407"/>
        <c:scaling>
          <c:orientation val="minMax"/>
        </c:scaling>
        <c:delete val="1"/>
        <c:axPos val="b"/>
        <c:numFmt formatCode="General" sourceLinked="1"/>
        <c:majorTickMark val="none"/>
        <c:minorTickMark val="none"/>
        <c:tickLblPos val="nextTo"/>
        <c:crossAx val="15986950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[Zara-data.xlsx]Sheet6!PivotTable6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Non-promotional</c:v>
                </c:pt>
              </c:strCache>
            </c:strRef>
          </c:tx>
          <c:spPr>
            <a:solidFill>
              <a:schemeClr val="accent1"/>
            </a:solidFill>
            <a:ln>
              <a:noFill/>
            </a:ln>
            <a:effectLst/>
          </c:spPr>
          <c:invertIfNegative val="0"/>
          <c:cat>
            <c:strRef>
              <c:f>Sheet6!$A$5:$A$9</c:f>
              <c:strCache>
                <c:ptCount val="5"/>
                <c:pt idx="0">
                  <c:v>jackets</c:v>
                </c:pt>
                <c:pt idx="1">
                  <c:v>jeans</c:v>
                </c:pt>
                <c:pt idx="2">
                  <c:v>shoes</c:v>
                </c:pt>
                <c:pt idx="3">
                  <c:v>sweaters</c:v>
                </c:pt>
                <c:pt idx="4">
                  <c:v>t-shirts</c:v>
                </c:pt>
              </c:strCache>
            </c:strRef>
          </c:cat>
          <c:val>
            <c:numRef>
              <c:f>Sheet6!$B$5:$B$9</c:f>
              <c:numCache>
                <c:formatCode>0</c:formatCode>
                <c:ptCount val="5"/>
                <c:pt idx="0">
                  <c:v>92624</c:v>
                </c:pt>
                <c:pt idx="1">
                  <c:v>7185</c:v>
                </c:pt>
                <c:pt idx="2">
                  <c:v>28560</c:v>
                </c:pt>
                <c:pt idx="3">
                  <c:v>29792</c:v>
                </c:pt>
                <c:pt idx="4">
                  <c:v>14267</c:v>
                </c:pt>
              </c:numCache>
            </c:numRef>
          </c:val>
          <c:extLst>
            <c:ext xmlns:c16="http://schemas.microsoft.com/office/drawing/2014/chart" uri="{C3380CC4-5D6E-409C-BE32-E72D297353CC}">
              <c16:uniqueId val="{00000000-D6E4-4225-B5F8-3A013A0EAC6D}"/>
            </c:ext>
          </c:extLst>
        </c:ser>
        <c:ser>
          <c:idx val="1"/>
          <c:order val="1"/>
          <c:tx>
            <c:strRef>
              <c:f>Sheet6!$C$3:$C$4</c:f>
              <c:strCache>
                <c:ptCount val="1"/>
                <c:pt idx="0">
                  <c:v>Promotional</c:v>
                </c:pt>
              </c:strCache>
            </c:strRef>
          </c:tx>
          <c:spPr>
            <a:solidFill>
              <a:schemeClr val="accent2"/>
            </a:solidFill>
            <a:ln>
              <a:noFill/>
            </a:ln>
            <a:effectLst/>
          </c:spPr>
          <c:invertIfNegative val="0"/>
          <c:cat>
            <c:strRef>
              <c:f>Sheet6!$A$5:$A$9</c:f>
              <c:strCache>
                <c:ptCount val="5"/>
                <c:pt idx="0">
                  <c:v>jackets</c:v>
                </c:pt>
                <c:pt idx="1">
                  <c:v>jeans</c:v>
                </c:pt>
                <c:pt idx="2">
                  <c:v>shoes</c:v>
                </c:pt>
                <c:pt idx="3">
                  <c:v>sweaters</c:v>
                </c:pt>
                <c:pt idx="4">
                  <c:v>t-shirts</c:v>
                </c:pt>
              </c:strCache>
            </c:strRef>
          </c:cat>
          <c:val>
            <c:numRef>
              <c:f>Sheet6!$C$5:$C$9</c:f>
              <c:numCache>
                <c:formatCode>0</c:formatCode>
                <c:ptCount val="5"/>
                <c:pt idx="0">
                  <c:v>93711</c:v>
                </c:pt>
                <c:pt idx="1">
                  <c:v>3243</c:v>
                </c:pt>
                <c:pt idx="2">
                  <c:v>25323</c:v>
                </c:pt>
                <c:pt idx="3">
                  <c:v>32569</c:v>
                </c:pt>
                <c:pt idx="4">
                  <c:v>9598</c:v>
                </c:pt>
              </c:numCache>
            </c:numRef>
          </c:val>
          <c:extLst>
            <c:ext xmlns:c16="http://schemas.microsoft.com/office/drawing/2014/chart" uri="{C3380CC4-5D6E-409C-BE32-E72D297353CC}">
              <c16:uniqueId val="{00000001-D6E4-4225-B5F8-3A013A0EAC6D}"/>
            </c:ext>
          </c:extLst>
        </c:ser>
        <c:dLbls>
          <c:showLegendKey val="0"/>
          <c:showVal val="0"/>
          <c:showCatName val="0"/>
          <c:showSerName val="0"/>
          <c:showPercent val="0"/>
          <c:showBubbleSize val="0"/>
        </c:dLbls>
        <c:gapWidth val="219"/>
        <c:overlap val="-27"/>
        <c:axId val="1784800256"/>
        <c:axId val="1784797856"/>
      </c:barChart>
      <c:catAx>
        <c:axId val="178480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84797856"/>
        <c:crosses val="autoZero"/>
        <c:auto val="1"/>
        <c:lblAlgn val="ctr"/>
        <c:lblOffset val="100"/>
        <c:noMultiLvlLbl val="0"/>
      </c:catAx>
      <c:valAx>
        <c:axId val="1784797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8480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eg"/><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381117</xdr:colOff>
      <xdr:row>4</xdr:row>
      <xdr:rowOff>255274</xdr:rowOff>
    </xdr:from>
    <xdr:to>
      <xdr:col>6</xdr:col>
      <xdr:colOff>286667</xdr:colOff>
      <xdr:row>10</xdr:row>
      <xdr:rowOff>236232</xdr:rowOff>
    </xdr:to>
    <xdr:graphicFrame macro="">
      <xdr:nvGraphicFramePr>
        <xdr:cNvPr id="4" name="Chart 3">
          <a:extLst>
            <a:ext uri="{FF2B5EF4-FFF2-40B4-BE49-F238E27FC236}">
              <a16:creationId xmlns:a16="http://schemas.microsoft.com/office/drawing/2014/main" id="{D38C1CAE-3317-4091-8E1C-2E175FEE4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577476</xdr:colOff>
      <xdr:row>1</xdr:row>
      <xdr:rowOff>21011</xdr:rowOff>
    </xdr:from>
    <xdr:to>
      <xdr:col>2</xdr:col>
      <xdr:colOff>1001289</xdr:colOff>
      <xdr:row>2</xdr:row>
      <xdr:rowOff>31190</xdr:rowOff>
    </xdr:to>
    <xdr:pic>
      <xdr:nvPicPr>
        <xdr:cNvPr id="10" name="Picture 9" descr="See the source image">
          <a:extLst>
            <a:ext uri="{FF2B5EF4-FFF2-40B4-BE49-F238E27FC236}">
              <a16:creationId xmlns:a16="http://schemas.microsoft.com/office/drawing/2014/main" id="{4FCF1DF8-6051-B127-AB65-4501FF87A1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86796" y="203107"/>
          <a:ext cx="1397561" cy="479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572232</xdr:colOff>
      <xdr:row>4</xdr:row>
      <xdr:rowOff>348480</xdr:rowOff>
    </xdr:from>
    <xdr:to>
      <xdr:col>13</xdr:col>
      <xdr:colOff>702949</xdr:colOff>
      <xdr:row>9</xdr:row>
      <xdr:rowOff>566615</xdr:rowOff>
    </xdr:to>
    <xdr:graphicFrame macro="">
      <xdr:nvGraphicFramePr>
        <xdr:cNvPr id="2" name="Chart 1">
          <a:extLst>
            <a:ext uri="{FF2B5EF4-FFF2-40B4-BE49-F238E27FC236}">
              <a16:creationId xmlns:a16="http://schemas.microsoft.com/office/drawing/2014/main" id="{B2BB82F3-4510-4DDB-88D6-665621E8A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70322</xdr:colOff>
      <xdr:row>10</xdr:row>
      <xdr:rowOff>514465</xdr:rowOff>
    </xdr:from>
    <xdr:to>
      <xdr:col>7</xdr:col>
      <xdr:colOff>53731</xdr:colOff>
      <xdr:row>13</xdr:row>
      <xdr:rowOff>134145</xdr:rowOff>
    </xdr:to>
    <xdr:graphicFrame macro="">
      <xdr:nvGraphicFramePr>
        <xdr:cNvPr id="3" name="Chart 2">
          <a:extLst>
            <a:ext uri="{FF2B5EF4-FFF2-40B4-BE49-F238E27FC236}">
              <a16:creationId xmlns:a16="http://schemas.microsoft.com/office/drawing/2014/main" id="{366FEE05-4C2B-4FF0-A91A-B37EAD316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898525</xdr:colOff>
      <xdr:row>3</xdr:row>
      <xdr:rowOff>133350</xdr:rowOff>
    </xdr:from>
    <xdr:to>
      <xdr:col>19</xdr:col>
      <xdr:colOff>542925</xdr:colOff>
      <xdr:row>6</xdr:row>
      <xdr:rowOff>111125</xdr:rowOff>
    </xdr:to>
    <mc:AlternateContent xmlns:mc="http://schemas.openxmlformats.org/markup-compatibility/2006">
      <mc:Choice xmlns:a14="http://schemas.microsoft.com/office/drawing/2010/main" Requires="a14">
        <xdr:graphicFrame macro="">
          <xdr:nvGraphicFramePr>
            <xdr:cNvPr id="5" name="terms">
              <a:extLst>
                <a:ext uri="{FF2B5EF4-FFF2-40B4-BE49-F238E27FC236}">
                  <a16:creationId xmlns:a16="http://schemas.microsoft.com/office/drawing/2014/main" id="{DA4A94D8-AA60-4AAC-E36B-974412BB16AB}"/>
                </a:ext>
              </a:extLst>
            </xdr:cNvPr>
            <xdr:cNvGraphicFramePr/>
          </xdr:nvGraphicFramePr>
          <xdr:xfrm>
            <a:off x="0" y="0"/>
            <a:ext cx="0" cy="0"/>
          </xdr:xfrm>
          <a:graphic>
            <a:graphicData uri="http://schemas.microsoft.com/office/drawing/2010/slicer">
              <sle:slicer xmlns:sle="http://schemas.microsoft.com/office/drawing/2010/slicer" name="terms"/>
            </a:graphicData>
          </a:graphic>
        </xdr:graphicFrame>
      </mc:Choice>
      <mc:Fallback>
        <xdr:sp macro="" textlink="">
          <xdr:nvSpPr>
            <xdr:cNvPr id="0" name=""/>
            <xdr:cNvSpPr>
              <a:spLocks noTextEdit="1"/>
            </xdr:cNvSpPr>
          </xdr:nvSpPr>
          <xdr:spPr>
            <a:xfrm>
              <a:off x="18491200" y="1371600"/>
              <a:ext cx="1828800" cy="2073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565150</xdr:colOff>
      <xdr:row>2</xdr:row>
      <xdr:rowOff>63500</xdr:rowOff>
    </xdr:from>
    <xdr:to>
      <xdr:col>11</xdr:col>
      <xdr:colOff>260350</xdr:colOff>
      <xdr:row>17</xdr:row>
      <xdr:rowOff>44450</xdr:rowOff>
    </xdr:to>
    <xdr:graphicFrame macro="">
      <xdr:nvGraphicFramePr>
        <xdr:cNvPr id="2" name="Chart 1">
          <a:extLst>
            <a:ext uri="{FF2B5EF4-FFF2-40B4-BE49-F238E27FC236}">
              <a16:creationId xmlns:a16="http://schemas.microsoft.com/office/drawing/2014/main" id="{100070E0-94C5-80BF-7C91-65546E2E2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279400</xdr:colOff>
      <xdr:row>5</xdr:row>
      <xdr:rowOff>38100</xdr:rowOff>
    </xdr:from>
    <xdr:to>
      <xdr:col>9</xdr:col>
      <xdr:colOff>120650</xdr:colOff>
      <xdr:row>20</xdr:row>
      <xdr:rowOff>19050</xdr:rowOff>
    </xdr:to>
    <xdr:graphicFrame macro="">
      <xdr:nvGraphicFramePr>
        <xdr:cNvPr id="2" name="Chart 1">
          <a:extLst>
            <a:ext uri="{FF2B5EF4-FFF2-40B4-BE49-F238E27FC236}">
              <a16:creationId xmlns:a16="http://schemas.microsoft.com/office/drawing/2014/main" id="{505C4D56-79D0-39B5-E056-0E9A8B54E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el Czechowicz" refreshedDate="46064.95291886574" createdVersion="8" refreshedVersion="8" minRefreshableVersion="3" recordCount="185" xr:uid="{EE8197D5-3354-4691-8936-8817D78B2BB8}">
  <cacheSource type="worksheet">
    <worksheetSource name="Zara_data"/>
  </cacheSource>
  <cacheFields count="20">
    <cacheField name="Product ID" numFmtId="0">
      <sharedItems containsSemiMixedTypes="0" containsString="0" containsNumber="1" containsInteger="1" minValue="110075" maxValue="199631"/>
    </cacheField>
    <cacheField name="Product Position" numFmtId="0">
      <sharedItems count="3">
        <s v="Aisle"/>
        <s v="End-cap"/>
        <s v="Front of Store"/>
      </sharedItems>
    </cacheField>
    <cacheField name="Promotion" numFmtId="0">
      <sharedItems count="2">
        <s v="No"/>
        <s v="Yes"/>
      </sharedItems>
    </cacheField>
    <cacheField name="Product Category" numFmtId="0">
      <sharedItems/>
    </cacheField>
    <cacheField name="Seasonal" numFmtId="0">
      <sharedItems count="2">
        <s v="No"/>
        <s v="Yes"/>
      </sharedItems>
    </cacheField>
    <cacheField name="Sales Volume" numFmtId="1">
      <sharedItems containsSemiMixedTypes="0" containsString="0" containsNumber="1" containsInteger="1" minValue="529" maxValue="2989"/>
    </cacheField>
    <cacheField name="brand" numFmtId="0">
      <sharedItems/>
    </cacheField>
    <cacheField name="sku" numFmtId="0">
      <sharedItems/>
    </cacheField>
    <cacheField name="name" numFmtId="0">
      <sharedItems/>
    </cacheField>
    <cacheField name="price" numFmtId="2">
      <sharedItems containsSemiMixedTypes="0" containsString="0" containsNumber="1" minValue="7.99" maxValue="439"/>
    </cacheField>
    <cacheField name="currency" numFmtId="0">
      <sharedItems/>
    </cacheField>
    <cacheField name="scraped_date" numFmtId="14">
      <sharedItems containsSemiMixedTypes="0" containsNonDate="0" containsDate="1" containsString="0" minDate="2024-02-19T00:00:00" maxDate="2024-02-20T00:00:00"/>
    </cacheField>
    <cacheField name="scraped_time" numFmtId="164">
      <sharedItems containsSemiMixedTypes="0" containsNonDate="0" containsDate="1" containsString="0" minDate="1899-12-30T08:50:05" maxDate="1899-12-30T09:10:52" count="131">
        <d v="1899-12-30T08:50:05"/>
        <d v="1899-12-30T08:50:06"/>
        <d v="1899-12-30T08:50:07"/>
        <d v="1899-12-30T08:50:08"/>
        <d v="1899-12-30T08:50:09"/>
        <d v="1899-12-30T08:50:10"/>
        <d v="1899-12-30T08:50:11"/>
        <d v="1899-12-30T08:50:12"/>
        <d v="1899-12-30T08:50:13"/>
        <d v="1899-12-30T08:50:14"/>
        <d v="1899-12-30T08:50:15"/>
        <d v="1899-12-30T08:50:16"/>
        <d v="1899-12-30T08:50:17"/>
        <d v="1899-12-30T08:50:18"/>
        <d v="1899-12-30T08:50:19"/>
        <d v="1899-12-30T08:50:20"/>
        <d v="1899-12-30T08:50:21"/>
        <d v="1899-12-30T08:50:22"/>
        <d v="1899-12-30T08:50:23"/>
        <d v="1899-12-30T08:50:24"/>
        <d v="1899-12-30T08:50:27"/>
        <d v="1899-12-30T08:50:28"/>
        <d v="1899-12-30T08:50:29"/>
        <d v="1899-12-30T08:50:31"/>
        <d v="1899-12-30T08:50:32"/>
        <d v="1899-12-30T08:50:33"/>
        <d v="1899-12-30T08:50:35"/>
        <d v="1899-12-30T08:50:36"/>
        <d v="1899-12-30T08:50:37"/>
        <d v="1899-12-30T08:50:38"/>
        <d v="1899-12-30T08:50:39"/>
        <d v="1899-12-30T08:50:40"/>
        <d v="1899-12-30T08:50:41"/>
        <d v="1899-12-30T08:50:42"/>
        <d v="1899-12-30T08:50:43"/>
        <d v="1899-12-30T08:50:44"/>
        <d v="1899-12-30T08:50:45"/>
        <d v="1899-12-30T08:50:46"/>
        <d v="1899-12-30T08:50:47"/>
        <d v="1899-12-30T08:50:49"/>
        <d v="1899-12-30T08:50:48"/>
        <d v="1899-12-30T08:50:51"/>
        <d v="1899-12-30T08:50:52"/>
        <d v="1899-12-30T08:50:54"/>
        <d v="1899-12-30T08:50:55"/>
        <d v="1899-12-30T08:50:56"/>
        <d v="1899-12-30T08:50:57"/>
        <d v="1899-12-30T08:50:58"/>
        <d v="1899-12-30T08:50:59"/>
        <d v="1899-12-30T08:51:00"/>
        <d v="1899-12-30T08:51:03"/>
        <d v="1899-12-30T08:51:04"/>
        <d v="1899-12-30T08:51:05"/>
        <d v="1899-12-30T08:51:07"/>
        <d v="1899-12-30T08:51:08"/>
        <d v="1899-12-30T08:51:16"/>
        <d v="1899-12-30T08:51:17"/>
        <d v="1899-12-30T08:51:18"/>
        <d v="1899-12-30T08:51:30"/>
        <d v="1899-12-30T08:51:31"/>
        <d v="1899-12-30T08:51:32"/>
        <d v="1899-12-30T08:51:33"/>
        <d v="1899-12-30T08:51:34"/>
        <d v="1899-12-30T08:51:35"/>
        <d v="1899-12-30T08:51:36"/>
        <d v="1899-12-30T08:51:37"/>
        <d v="1899-12-30T08:51:40"/>
        <d v="1899-12-30T08:51:41"/>
        <d v="1899-12-30T08:51:42"/>
        <d v="1899-12-30T09:00:28"/>
        <d v="1899-12-30T09:00:29"/>
        <d v="1899-12-30T09:00:30"/>
        <d v="1899-12-30T09:00:31"/>
        <d v="1899-12-30T09:00:32"/>
        <d v="1899-12-30T09:00:33"/>
        <d v="1899-12-30T09:00:34"/>
        <d v="1899-12-30T09:00:36"/>
        <d v="1899-12-30T09:00:37"/>
        <d v="1899-12-30T09:00:38"/>
        <d v="1899-12-30T09:00:39"/>
        <d v="1899-12-30T09:00:40"/>
        <d v="1899-12-30T09:00:41"/>
        <d v="1899-12-30T09:00:42"/>
        <d v="1899-12-30T09:00:43"/>
        <d v="1899-12-30T09:00:44"/>
        <d v="1899-12-30T09:00:45"/>
        <d v="1899-12-30T09:00:46"/>
        <d v="1899-12-30T09:00:47"/>
        <d v="1899-12-30T09:00:48"/>
        <d v="1899-12-30T09:00:49"/>
        <d v="1899-12-30T09:10:31"/>
        <d v="1899-12-30T09:10:32"/>
        <d v="1899-12-30T09:10:33"/>
        <d v="1899-12-30T09:10:34"/>
        <d v="1899-12-30T09:10:35"/>
        <d v="1899-12-30T09:10:36"/>
        <d v="1899-12-30T09:10:37"/>
        <d v="1899-12-30T09:10:38"/>
        <d v="1899-12-30T09:10:39"/>
        <d v="1899-12-30T09:10:40"/>
        <d v="1899-12-30T09:10:41"/>
        <d v="1899-12-30T09:10:42"/>
        <d v="1899-12-30T09:10:43"/>
        <d v="1899-12-30T09:10:44"/>
        <d v="1899-12-30T09:10:45"/>
        <d v="1899-12-30T09:10:46"/>
        <d v="1899-12-30T09:10:47"/>
        <d v="1899-12-30T09:10:48"/>
        <d v="1899-12-30T09:10:49"/>
        <d v="1899-12-30T09:10:50"/>
        <d v="1899-12-30T09:10:51"/>
        <d v="1899-12-30T09:10:52"/>
        <d v="1899-12-30T08:51:28"/>
        <d v="1899-12-30T08:51:29"/>
        <d v="1899-12-30T08:54:37"/>
        <d v="1899-12-30T08:54:38"/>
        <d v="1899-12-30T08:54:39"/>
        <d v="1899-12-30T08:54:40"/>
        <d v="1899-12-30T08:54:41"/>
        <d v="1899-12-30T08:54:45"/>
        <d v="1899-12-30T08:54:46"/>
        <d v="1899-12-30T08:54:47"/>
        <d v="1899-12-30T08:56:26"/>
        <d v="1899-12-30T08:56:27"/>
        <d v="1899-12-30T08:56:28"/>
        <d v="1899-12-30T08:56:29"/>
        <d v="1899-12-30T08:56:30"/>
        <d v="1899-12-30T08:56:31"/>
        <d v="1899-12-30T08:56:32"/>
        <d v="1899-12-30T08:56:34"/>
        <d v="1899-12-30T08:56:35"/>
      </sharedItems>
      <fieldGroup par="19"/>
    </cacheField>
    <cacheField name="terms" numFmtId="0">
      <sharedItems count="5">
        <s v="jackets"/>
        <s v="shoes"/>
        <s v="sweaters"/>
        <s v="jeans"/>
        <s v="t-shirts"/>
      </sharedItems>
    </cacheField>
    <cacheField name="section" numFmtId="0">
      <sharedItems/>
    </cacheField>
    <cacheField name="Revenue" numFmtId="0">
      <sharedItems containsSemiMixedTypes="0" containsString="0" containsNumber="1" minValue="4330.58" maxValue="651521"/>
    </cacheField>
    <cacheField name="AVG_price" numFmtId="0">
      <sharedItems containsSemiMixedTypes="0" containsString="0" containsNumber="1" minValue="7.99" maxValue="439"/>
    </cacheField>
    <cacheField name="Seconds (scraped_time)" numFmtId="0" databaseField="0">
      <fieldGroup base="12">
        <rangePr groupBy="seconds" startDate="1899-12-30T08:50:05" endDate="1899-12-30T09:10:52"/>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scraped_time)" numFmtId="0" databaseField="0">
      <fieldGroup base="12">
        <rangePr groupBy="minutes" startDate="1899-12-30T08:50:05" endDate="1899-12-30T09:10:52"/>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scraped_time)" numFmtId="0" databaseField="0">
      <fieldGroup base="12">
        <rangePr groupBy="hours" startDate="1899-12-30T08:50:05" endDate="1899-12-30T09:10:52"/>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980872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n v="185102"/>
    <x v="0"/>
    <x v="0"/>
    <s v="Clothing"/>
    <x v="0"/>
    <n v="2823"/>
    <s v="Zara"/>
    <s v="272145190-250-2"/>
    <s v="BASIC PUFFER JACKET"/>
    <n v="19.989999999999998"/>
    <s v="USD"/>
    <d v="2024-02-19T00:00:00"/>
    <x v="0"/>
    <x v="0"/>
    <s v="MAN"/>
    <n v="56431.77"/>
    <n v="19.989999999999998"/>
  </r>
  <r>
    <n v="188771"/>
    <x v="0"/>
    <x v="0"/>
    <s v="Clothing"/>
    <x v="0"/>
    <n v="654"/>
    <s v="Zara"/>
    <s v="324052738-800-46"/>
    <s v="TUXEDO JACKET"/>
    <n v="169"/>
    <s v="USD"/>
    <d v="2024-02-19T00:00:00"/>
    <x v="1"/>
    <x v="0"/>
    <s v="MAN"/>
    <n v="110526"/>
    <n v="169"/>
  </r>
  <r>
    <n v="180176"/>
    <x v="1"/>
    <x v="1"/>
    <s v="Clothing"/>
    <x v="1"/>
    <n v="2220"/>
    <s v="Zara"/>
    <s v="335342680-800-44"/>
    <s v="SLIM FIT SUIT JACKET"/>
    <n v="129"/>
    <s v="USD"/>
    <d v="2024-02-19T00:00:00"/>
    <x v="2"/>
    <x v="0"/>
    <s v="MAN"/>
    <n v="286380"/>
    <n v="129"/>
  </r>
  <r>
    <n v="112917"/>
    <x v="0"/>
    <x v="1"/>
    <s v="Clothing"/>
    <x v="1"/>
    <n v="1568"/>
    <s v="Zara"/>
    <s v="328303236-420-44"/>
    <s v="STRETCH SUIT JACKET"/>
    <n v="129"/>
    <s v="USD"/>
    <d v="2024-02-19T00:00:00"/>
    <x v="2"/>
    <x v="0"/>
    <s v="MAN"/>
    <n v="202272"/>
    <n v="129"/>
  </r>
  <r>
    <n v="192936"/>
    <x v="1"/>
    <x v="0"/>
    <s v="Clothing"/>
    <x v="1"/>
    <n v="2942"/>
    <s v="Zara"/>
    <s v="312368260-800-2"/>
    <s v="DOUBLE FACED JACKET"/>
    <n v="139"/>
    <s v="USD"/>
    <d v="2024-02-19T00:00:00"/>
    <x v="3"/>
    <x v="0"/>
    <s v="MAN"/>
    <n v="408938"/>
    <n v="139"/>
  </r>
  <r>
    <n v="117590"/>
    <x v="1"/>
    <x v="0"/>
    <s v="Clothing"/>
    <x v="0"/>
    <n v="2968"/>
    <s v="Zara"/>
    <s v="320298385-807-2"/>
    <s v="CONTRASTING COLLAR JACKET"/>
    <n v="79.900000000000006"/>
    <s v="USD"/>
    <d v="2024-02-19T00:00:00"/>
    <x v="4"/>
    <x v="0"/>
    <s v="MAN"/>
    <n v="237143.2"/>
    <n v="79.900000000000006"/>
  </r>
  <r>
    <n v="189118"/>
    <x v="2"/>
    <x v="1"/>
    <s v="Clothing"/>
    <x v="1"/>
    <n v="952"/>
    <s v="Zara"/>
    <s v="278112470-800-2"/>
    <s v="FAUX LEATHER PUFFER JACKET"/>
    <n v="69.989999999999995"/>
    <s v="USD"/>
    <d v="2024-02-19T00:00:00"/>
    <x v="4"/>
    <x v="0"/>
    <s v="MAN"/>
    <n v="66630.48"/>
    <n v="69.989999999999995"/>
  </r>
  <r>
    <n v="182157"/>
    <x v="0"/>
    <x v="0"/>
    <s v="Clothing"/>
    <x v="0"/>
    <n v="2421"/>
    <s v="Zara"/>
    <s v="322972485-431-46"/>
    <s v="SUIT JACKET IN 100% LINEN"/>
    <n v="159"/>
    <s v="USD"/>
    <d v="2024-02-19T00:00:00"/>
    <x v="5"/>
    <x v="0"/>
    <s v="MAN"/>
    <n v="384939"/>
    <n v="159"/>
  </r>
  <r>
    <n v="141861"/>
    <x v="0"/>
    <x v="1"/>
    <s v="Clothing"/>
    <x v="1"/>
    <n v="1916"/>
    <s v="Zara"/>
    <s v="313854165-401-46"/>
    <s v="100% WOOL SUIT JACKET"/>
    <n v="169"/>
    <s v="USD"/>
    <d v="2024-02-19T00:00:00"/>
    <x v="5"/>
    <x v="0"/>
    <s v="MAN"/>
    <n v="323804"/>
    <n v="169"/>
  </r>
  <r>
    <n v="137121"/>
    <x v="0"/>
    <x v="0"/>
    <s v="Clothing"/>
    <x v="1"/>
    <n v="656"/>
    <s v="Zara"/>
    <s v="312372602-800-2"/>
    <s v="100% FEATHER FILL PUFFER JACKET"/>
    <n v="169"/>
    <s v="USD"/>
    <d v="2024-02-19T00:00:00"/>
    <x v="6"/>
    <x v="0"/>
    <s v="MAN"/>
    <n v="110864"/>
    <n v="169"/>
  </r>
  <r>
    <n v="113143"/>
    <x v="0"/>
    <x v="1"/>
    <s v="Clothing"/>
    <x v="1"/>
    <n v="2663"/>
    <s v="Zara"/>
    <s v="316207900-710-2"/>
    <s v="HERRINGBONE TEXTURED JACKET"/>
    <n v="129"/>
    <s v="USD"/>
    <d v="2024-02-19T00:00:00"/>
    <x v="7"/>
    <x v="0"/>
    <s v="MAN"/>
    <n v="343527"/>
    <n v="129"/>
  </r>
  <r>
    <n v="140028"/>
    <x v="0"/>
    <x v="1"/>
    <s v="Clothing"/>
    <x v="1"/>
    <n v="1260"/>
    <s v="Zara"/>
    <s v="329186122-800-2"/>
    <s v="OVERSIZED CROPPED JACKET LIMITED EDITION"/>
    <n v="159"/>
    <s v="USD"/>
    <d v="2024-02-19T00:00:00"/>
    <x v="7"/>
    <x v="0"/>
    <s v="MAN"/>
    <n v="200340"/>
    <n v="159"/>
  </r>
  <r>
    <n v="134693"/>
    <x v="0"/>
    <x v="1"/>
    <s v="Clothing"/>
    <x v="0"/>
    <n v="2124"/>
    <s v="Zara"/>
    <s v="311297791-800-2"/>
    <s v="LEATHER BIKER JACKET"/>
    <n v="169"/>
    <s v="USD"/>
    <d v="2024-02-19T00:00:00"/>
    <x v="8"/>
    <x v="0"/>
    <s v="MAN"/>
    <n v="358956"/>
    <n v="169"/>
  </r>
  <r>
    <n v="151396"/>
    <x v="2"/>
    <x v="1"/>
    <s v="Clothing"/>
    <x v="1"/>
    <n v="729"/>
    <s v="Zara"/>
    <s v="323134418-800-3"/>
    <s v="CROPPED LEATHER JACKET"/>
    <n v="439"/>
    <s v="USD"/>
    <d v="2024-02-19T00:00:00"/>
    <x v="8"/>
    <x v="0"/>
    <s v="MAN"/>
    <n v="320031"/>
    <n v="439"/>
  </r>
  <r>
    <n v="132889"/>
    <x v="0"/>
    <x v="1"/>
    <s v="Clothing"/>
    <x v="1"/>
    <n v="2265"/>
    <s v="Zara"/>
    <s v="311297555-706-2"/>
    <s v="FAUX LEATHER BOXY FIT JACKET"/>
    <n v="99.9"/>
    <s v="USD"/>
    <d v="2024-02-19T00:00:00"/>
    <x v="9"/>
    <x v="0"/>
    <s v="MAN"/>
    <n v="226273.5"/>
    <n v="99.9"/>
  </r>
  <r>
    <n v="152174"/>
    <x v="1"/>
    <x v="0"/>
    <s v="Clothing"/>
    <x v="0"/>
    <n v="2226"/>
    <s v="Zara"/>
    <s v="317012940-800-2"/>
    <s v="FAUX LEATHER JACKET"/>
    <n v="99.9"/>
    <s v="USD"/>
    <d v="2024-02-19T00:00:00"/>
    <x v="9"/>
    <x v="0"/>
    <s v="MAN"/>
    <n v="222377.40000000002"/>
    <n v="99.9"/>
  </r>
  <r>
    <n v="129906"/>
    <x v="0"/>
    <x v="0"/>
    <s v="Clothing"/>
    <x v="0"/>
    <n v="2089"/>
    <s v="Zara"/>
    <s v="311292672-800-2"/>
    <s v="FAUX SUEDE BOMBER JACKET"/>
    <n v="69.900000000000006"/>
    <s v="USD"/>
    <d v="2024-02-19T00:00:00"/>
    <x v="10"/>
    <x v="0"/>
    <s v="MAN"/>
    <n v="146021.1"/>
    <n v="69.900000000000006"/>
  </r>
  <r>
    <n v="195879"/>
    <x v="2"/>
    <x v="1"/>
    <s v="Clothing"/>
    <x v="1"/>
    <n v="2339"/>
    <s v="Zara"/>
    <s v="321496837-400-3"/>
    <s v="DENIM BOMBER JACKET"/>
    <n v="129"/>
    <s v="USD"/>
    <d v="2024-02-19T00:00:00"/>
    <x v="10"/>
    <x v="0"/>
    <s v="MAN"/>
    <n v="301731"/>
    <n v="129"/>
  </r>
  <r>
    <n v="155050"/>
    <x v="0"/>
    <x v="0"/>
    <s v="Clothing"/>
    <x v="1"/>
    <n v="2321"/>
    <s v="Zara"/>
    <s v="316205038-615-2"/>
    <s v="BOUCLÉ TEXTURED JACKET"/>
    <n v="129"/>
    <s v="USD"/>
    <d v="2024-02-19T00:00:00"/>
    <x v="11"/>
    <x v="0"/>
    <s v="MAN"/>
    <n v="299409"/>
    <n v="129"/>
  </r>
  <r>
    <n v="141904"/>
    <x v="1"/>
    <x v="1"/>
    <s v="Clothing"/>
    <x v="1"/>
    <n v="1712"/>
    <s v="Zara"/>
    <s v="313845662-400-3"/>
    <s v="JACQUARD DENIM JACKET"/>
    <n v="109"/>
    <s v="USD"/>
    <d v="2024-02-19T00:00:00"/>
    <x v="12"/>
    <x v="0"/>
    <s v="MAN"/>
    <n v="186608"/>
    <n v="109"/>
  </r>
  <r>
    <n v="124981"/>
    <x v="2"/>
    <x v="0"/>
    <s v="Clothing"/>
    <x v="1"/>
    <n v="1832"/>
    <s v="Zara"/>
    <s v="320264577-800-2"/>
    <s v="PADDED DENIM JACKET"/>
    <n v="89.9"/>
    <s v="USD"/>
    <d v="2024-02-19T00:00:00"/>
    <x v="13"/>
    <x v="0"/>
    <s v="MAN"/>
    <n v="164696.80000000002"/>
    <n v="89.9"/>
  </r>
  <r>
    <n v="161909"/>
    <x v="0"/>
    <x v="1"/>
    <s v="Clothing"/>
    <x v="0"/>
    <n v="1290"/>
    <s v="Zara"/>
    <s v="315529534-705-3"/>
    <s v="LEATHER JACKET"/>
    <n v="299"/>
    <s v="USD"/>
    <d v="2024-02-19T00:00:00"/>
    <x v="13"/>
    <x v="0"/>
    <s v="MAN"/>
    <n v="385710"/>
    <n v="299"/>
  </r>
  <r>
    <n v="129152"/>
    <x v="1"/>
    <x v="0"/>
    <s v="Clothing"/>
    <x v="0"/>
    <n v="2356"/>
    <s v="Zara"/>
    <s v="320423517-800-2"/>
    <s v="LIGHTWEIGHT BOMBER JACKET"/>
    <n v="49.9"/>
    <s v="USD"/>
    <d v="2024-02-19T00:00:00"/>
    <x v="14"/>
    <x v="0"/>
    <s v="MAN"/>
    <n v="117564.4"/>
    <n v="49.9"/>
  </r>
  <r>
    <n v="183243"/>
    <x v="2"/>
    <x v="1"/>
    <s v="Clothing"/>
    <x v="0"/>
    <n v="1524"/>
    <s v="Zara"/>
    <s v="328250627-251-46"/>
    <s v="SUIT JACKET"/>
    <n v="169"/>
    <s v="USD"/>
    <d v="2024-02-19T00:00:00"/>
    <x v="14"/>
    <x v="0"/>
    <s v="MAN"/>
    <n v="257556"/>
    <n v="169"/>
  </r>
  <r>
    <n v="198248"/>
    <x v="2"/>
    <x v="1"/>
    <s v="Clothing"/>
    <x v="0"/>
    <n v="1644"/>
    <s v="Zara"/>
    <s v="311309526-800-2"/>
    <s v="FAUX LEATHER BOMBER JACKET"/>
    <n v="69.900000000000006"/>
    <s v="USD"/>
    <d v="2024-02-19T00:00:00"/>
    <x v="15"/>
    <x v="0"/>
    <s v="MAN"/>
    <n v="114915.6"/>
    <n v="69.900000000000006"/>
  </r>
  <r>
    <n v="191230"/>
    <x v="1"/>
    <x v="0"/>
    <s v="Clothing"/>
    <x v="0"/>
    <n v="966"/>
    <s v="Zara"/>
    <s v="311287528-811-2"/>
    <s v="PATCH BOMBER JACKET"/>
    <n v="89.9"/>
    <s v="USD"/>
    <d v="2024-02-19T00:00:00"/>
    <x v="15"/>
    <x v="0"/>
    <s v="MAN"/>
    <n v="86843.400000000009"/>
    <n v="89.9"/>
  </r>
  <r>
    <n v="187234"/>
    <x v="2"/>
    <x v="1"/>
    <s v="Clothing"/>
    <x v="1"/>
    <n v="2575"/>
    <s v="Zara"/>
    <s v="342657802-914-2"/>
    <s v="STRETCH POCKET OVERSHIRT"/>
    <n v="59.9"/>
    <s v="USD"/>
    <d v="2024-02-19T00:00:00"/>
    <x v="16"/>
    <x v="0"/>
    <s v="MAN"/>
    <n v="154242.5"/>
    <n v="59.9"/>
  </r>
  <r>
    <n v="148888"/>
    <x v="2"/>
    <x v="0"/>
    <s v="Clothing"/>
    <x v="0"/>
    <n v="2774"/>
    <s v="Zara"/>
    <s v="316207898-712-2"/>
    <s v="RIB COLLAR JACKET"/>
    <n v="109"/>
    <s v="USD"/>
    <d v="2024-02-19T00:00:00"/>
    <x v="17"/>
    <x v="0"/>
    <s v="MAN"/>
    <n v="302366"/>
    <n v="109"/>
  </r>
  <r>
    <n v="110805"/>
    <x v="2"/>
    <x v="1"/>
    <s v="Clothing"/>
    <x v="0"/>
    <n v="2477"/>
    <s v="Zara"/>
    <s v="321496761-800-2"/>
    <s v="FAUX LEATHER OVERSIZED JACKET LIMITED EDITION"/>
    <n v="159"/>
    <s v="USD"/>
    <d v="2024-02-19T00:00:00"/>
    <x v="17"/>
    <x v="0"/>
    <s v="MAN"/>
    <n v="393843"/>
    <n v="159"/>
  </r>
  <r>
    <n v="179801"/>
    <x v="2"/>
    <x v="0"/>
    <s v="Clothing"/>
    <x v="1"/>
    <n v="2608"/>
    <s v="Zara"/>
    <s v="311307255-800-2"/>
    <s v="CONTRASTING PATCHES BOMBER JACKET"/>
    <n v="129"/>
    <s v="USD"/>
    <d v="2024-02-19T00:00:00"/>
    <x v="18"/>
    <x v="0"/>
    <s v="MAN"/>
    <n v="336432"/>
    <n v="129"/>
  </r>
  <r>
    <n v="123150"/>
    <x v="1"/>
    <x v="1"/>
    <s v="Clothing"/>
    <x v="0"/>
    <n v="2074"/>
    <s v="Zara"/>
    <s v="330274270-800-2"/>
    <s v="CROPPED BOMBER JACKET LIMITED EDITION"/>
    <n v="129"/>
    <s v="USD"/>
    <d v="2024-02-19T00:00:00"/>
    <x v="19"/>
    <x v="0"/>
    <s v="MAN"/>
    <n v="267546"/>
    <n v="129"/>
  </r>
  <r>
    <n v="178281"/>
    <x v="1"/>
    <x v="0"/>
    <s v="Clothing"/>
    <x v="1"/>
    <n v="1145"/>
    <s v="Zara"/>
    <s v="315758723-401-2"/>
    <s v="BOMBER JACKET"/>
    <n v="109"/>
    <s v="USD"/>
    <d v="2024-02-19T00:00:00"/>
    <x v="20"/>
    <x v="0"/>
    <s v="MAN"/>
    <n v="124805"/>
    <n v="109"/>
  </r>
  <r>
    <n v="194339"/>
    <x v="1"/>
    <x v="0"/>
    <s v="Clothing"/>
    <x v="0"/>
    <n v="1792"/>
    <s v="Zara"/>
    <s v="311302863-800-2"/>
    <s v="FAUX SUEDE JACKET"/>
    <n v="89.9"/>
    <s v="USD"/>
    <d v="2024-02-19T00:00:00"/>
    <x v="21"/>
    <x v="0"/>
    <s v="MAN"/>
    <n v="161100.80000000002"/>
    <n v="89.9"/>
  </r>
  <r>
    <n v="114877"/>
    <x v="0"/>
    <x v="0"/>
    <s v="Clothing"/>
    <x v="0"/>
    <n v="1860"/>
    <s v="Zara"/>
    <s v="323134415-700-3"/>
    <s v="SUEDE JACKET"/>
    <n v="349"/>
    <s v="USD"/>
    <d v="2024-02-19T00:00:00"/>
    <x v="22"/>
    <x v="0"/>
    <s v="MAN"/>
    <n v="649140"/>
    <n v="349"/>
  </r>
  <r>
    <n v="133109"/>
    <x v="2"/>
    <x v="0"/>
    <s v="Clothing"/>
    <x v="1"/>
    <n v="2063"/>
    <s v="Zara"/>
    <s v="321143726-712-2"/>
    <s v="TEXTURED JACKET"/>
    <n v="79.900000000000006"/>
    <s v="USD"/>
    <d v="2024-02-19T00:00:00"/>
    <x v="23"/>
    <x v="0"/>
    <s v="MAN"/>
    <n v="164833.70000000001"/>
    <n v="79.900000000000006"/>
  </r>
  <r>
    <n v="127296"/>
    <x v="0"/>
    <x v="0"/>
    <s v="Clothing"/>
    <x v="0"/>
    <n v="1165"/>
    <s v="Zara"/>
    <s v="320220949-507-2"/>
    <s v="CROPPED TEXTURED JACKET"/>
    <n v="89.9"/>
    <s v="USD"/>
    <d v="2024-02-19T00:00:00"/>
    <x v="24"/>
    <x v="0"/>
    <s v="MAN"/>
    <n v="104733.5"/>
    <n v="89.9"/>
  </r>
  <r>
    <n v="133757"/>
    <x v="0"/>
    <x v="1"/>
    <s v="Clothing"/>
    <x v="0"/>
    <n v="2071"/>
    <s v="Zara"/>
    <s v="312664937-514-2"/>
    <s v="POCKET PUFFER JACKET"/>
    <n v="129"/>
    <s v="USD"/>
    <d v="2024-02-19T00:00:00"/>
    <x v="24"/>
    <x v="0"/>
    <s v="MAN"/>
    <n v="267159"/>
    <n v="129"/>
  </r>
  <r>
    <n v="111760"/>
    <x v="1"/>
    <x v="0"/>
    <s v="Clothing"/>
    <x v="0"/>
    <n v="1474"/>
    <s v="Zara"/>
    <s v="321143723-401-2"/>
    <s v="TECHNICAL JACKET WITH POCKETS"/>
    <n v="109"/>
    <s v="USD"/>
    <d v="2024-02-19T00:00:00"/>
    <x v="25"/>
    <x v="0"/>
    <s v="MAN"/>
    <n v="160666"/>
    <n v="109"/>
  </r>
  <r>
    <n v="138505"/>
    <x v="2"/>
    <x v="0"/>
    <s v="Clothing"/>
    <x v="0"/>
    <n v="2478"/>
    <s v="Zara"/>
    <s v="335663355-406-2"/>
    <s v="RIPPED DENIM JACKET"/>
    <n v="69.900000000000006"/>
    <s v="USD"/>
    <d v="2024-02-19T00:00:00"/>
    <x v="26"/>
    <x v="0"/>
    <s v="MAN"/>
    <n v="173212.2"/>
    <n v="69.900000000000006"/>
  </r>
  <r>
    <n v="116228"/>
    <x v="1"/>
    <x v="1"/>
    <s v="Clothing"/>
    <x v="0"/>
    <n v="647"/>
    <s v="Zara"/>
    <s v="312363708-800-2"/>
    <s v="TEXTURED POCKET JACKET"/>
    <n v="89.9"/>
    <s v="USD"/>
    <d v="2024-02-19T00:00:00"/>
    <x v="26"/>
    <x v="0"/>
    <s v="MAN"/>
    <n v="58165.3"/>
    <n v="89.9"/>
  </r>
  <r>
    <n v="167592"/>
    <x v="2"/>
    <x v="1"/>
    <s v="Clothing"/>
    <x v="0"/>
    <n v="707"/>
    <s v="Zara"/>
    <s v="312320664-251-2"/>
    <s v="FAUX SUEDE PATCH JACKET"/>
    <n v="89.9"/>
    <s v="USD"/>
    <d v="2024-02-19T00:00:00"/>
    <x v="27"/>
    <x v="0"/>
    <s v="MAN"/>
    <n v="63559.3"/>
    <n v="89.9"/>
  </r>
  <r>
    <n v="133100"/>
    <x v="1"/>
    <x v="1"/>
    <s v="Clothing"/>
    <x v="0"/>
    <n v="2729"/>
    <s v="Zara"/>
    <s v="311302445-445-97"/>
    <s v="PUFFER JACKET WITH POUCH POCKET"/>
    <n v="89.9"/>
    <s v="USD"/>
    <d v="2024-02-19T00:00:00"/>
    <x v="28"/>
    <x v="0"/>
    <s v="MAN"/>
    <n v="245337.1"/>
    <n v="89.9"/>
  </r>
  <r>
    <n v="189349"/>
    <x v="1"/>
    <x v="1"/>
    <s v="Clothing"/>
    <x v="0"/>
    <n v="1245"/>
    <s v="Zara"/>
    <s v="317107014-707-2"/>
    <s v="TEXTURED WEAVE OVERSHIRT"/>
    <n v="89.9"/>
    <s v="USD"/>
    <d v="2024-02-19T00:00:00"/>
    <x v="29"/>
    <x v="0"/>
    <s v="MAN"/>
    <n v="111925.5"/>
    <n v="89.9"/>
  </r>
  <r>
    <n v="127478"/>
    <x v="2"/>
    <x v="0"/>
    <s v="Clothing"/>
    <x v="1"/>
    <n v="2498"/>
    <s v="Zara"/>
    <s v="328594167-800-46"/>
    <s v="STRAIGHT SUIT JACKET"/>
    <n v="129"/>
    <s v="USD"/>
    <d v="2024-02-19T00:00:00"/>
    <x v="30"/>
    <x v="0"/>
    <s v="MAN"/>
    <n v="322242"/>
    <n v="129"/>
  </r>
  <r>
    <n v="180661"/>
    <x v="2"/>
    <x v="0"/>
    <s v="Clothing"/>
    <x v="1"/>
    <n v="1041"/>
    <s v="Zara"/>
    <s v="311309598-711-2"/>
    <s v="HOODED QUILTED JACKET"/>
    <n v="129"/>
    <s v="USD"/>
    <d v="2024-02-19T00:00:00"/>
    <x v="30"/>
    <x v="0"/>
    <s v="MAN"/>
    <n v="134289"/>
    <n v="129"/>
  </r>
  <r>
    <n v="186681"/>
    <x v="1"/>
    <x v="0"/>
    <s v="Clothing"/>
    <x v="1"/>
    <n v="1717"/>
    <s v="Zara"/>
    <s v="267133943-711-2"/>
    <s v="LIGHTWEIGHT PUFFER JACKET"/>
    <n v="19.989999999999998"/>
    <s v="USD"/>
    <d v="2024-02-19T00:00:00"/>
    <x v="31"/>
    <x v="0"/>
    <s v="MAN"/>
    <n v="34322.829999999994"/>
    <n v="19.989999999999998"/>
  </r>
  <r>
    <n v="133183"/>
    <x v="2"/>
    <x v="1"/>
    <s v="Clothing"/>
    <x v="1"/>
    <n v="2859"/>
    <s v="Zara"/>
    <s v="318265017-401-2"/>
    <s v="COTTON BLEND BOMBER JACKET"/>
    <n v="89.9"/>
    <s v="USD"/>
    <d v="2024-02-19T00:00:00"/>
    <x v="31"/>
    <x v="0"/>
    <s v="MAN"/>
    <n v="257024.1"/>
    <n v="89.9"/>
  </r>
  <r>
    <n v="173508"/>
    <x v="0"/>
    <x v="1"/>
    <s v="Clothing"/>
    <x v="0"/>
    <n v="1658"/>
    <s v="Zara"/>
    <s v="322410604-401-2"/>
    <s v="POCKET JACKET"/>
    <n v="129"/>
    <s v="USD"/>
    <d v="2024-02-19T00:00:00"/>
    <x v="32"/>
    <x v="0"/>
    <s v="MAN"/>
    <n v="213882"/>
    <n v="129"/>
  </r>
  <r>
    <n v="187930"/>
    <x v="1"/>
    <x v="0"/>
    <s v="Clothing"/>
    <x v="1"/>
    <n v="706"/>
    <s v="Zara"/>
    <s v="324149982-982-2"/>
    <s v="OVERSIZED BOMBER JACKET"/>
    <n v="89.9"/>
    <s v="USD"/>
    <d v="2024-02-19T00:00:00"/>
    <x v="32"/>
    <x v="0"/>
    <s v="MAN"/>
    <n v="63469.4"/>
    <n v="89.9"/>
  </r>
  <r>
    <n v="124088"/>
    <x v="1"/>
    <x v="1"/>
    <s v="Clothing"/>
    <x v="1"/>
    <n v="2065"/>
    <s v="Zara"/>
    <s v="320531693-707-2"/>
    <s v="EMBROIDERED PATCH JACKET"/>
    <n v="79.900000000000006"/>
    <s v="USD"/>
    <d v="2024-02-19T00:00:00"/>
    <x v="33"/>
    <x v="0"/>
    <s v="MAN"/>
    <n v="164993.5"/>
    <n v="79.900000000000006"/>
  </r>
  <r>
    <n v="190238"/>
    <x v="2"/>
    <x v="0"/>
    <s v="Clothing"/>
    <x v="1"/>
    <n v="1917"/>
    <s v="Zara"/>
    <s v="328279967-409-3"/>
    <s v="ACID WASH DENIM JACKET"/>
    <n v="89.9"/>
    <s v="USD"/>
    <d v="2024-02-19T00:00:00"/>
    <x v="34"/>
    <x v="0"/>
    <s v="MAN"/>
    <n v="172338.30000000002"/>
    <n v="89.9"/>
  </r>
  <r>
    <n v="151925"/>
    <x v="1"/>
    <x v="1"/>
    <s v="Clothing"/>
    <x v="1"/>
    <n v="2179"/>
    <s v="Zara"/>
    <s v="320774184-800-97"/>
    <s v="VINTAGE EFFECT LEATHER BOMBER JACKET"/>
    <n v="299"/>
    <s v="USD"/>
    <d v="2024-02-19T00:00:00"/>
    <x v="34"/>
    <x v="0"/>
    <s v="MAN"/>
    <n v="651521"/>
    <n v="299"/>
  </r>
  <r>
    <n v="163234"/>
    <x v="2"/>
    <x v="0"/>
    <s v="Clothing"/>
    <x v="0"/>
    <n v="1633"/>
    <s v="Zara"/>
    <s v="322972491-800-2"/>
    <s v="TEXTURED DENIM JACKET LIMITED EDITION"/>
    <n v="89.9"/>
    <s v="USD"/>
    <d v="2024-02-19T00:00:00"/>
    <x v="35"/>
    <x v="0"/>
    <s v="MAN"/>
    <n v="146806.70000000001"/>
    <n v="89.9"/>
  </r>
  <r>
    <n v="135610"/>
    <x v="0"/>
    <x v="1"/>
    <s v="Clothing"/>
    <x v="1"/>
    <n v="1513"/>
    <s v="Zara"/>
    <s v="321501682-800-2"/>
    <s v="WOOL BLEND JACKET"/>
    <n v="109"/>
    <s v="USD"/>
    <d v="2024-02-19T00:00:00"/>
    <x v="36"/>
    <x v="0"/>
    <s v="MAN"/>
    <n v="164917"/>
    <n v="109"/>
  </r>
  <r>
    <n v="117065"/>
    <x v="0"/>
    <x v="1"/>
    <s v="Clothing"/>
    <x v="1"/>
    <n v="758"/>
    <s v="Zara"/>
    <s v="328616906-712-2"/>
    <s v="COTTON - LINEN BLEND JACKET"/>
    <n v="109"/>
    <s v="USD"/>
    <d v="2024-02-19T00:00:00"/>
    <x v="36"/>
    <x v="0"/>
    <s v="MAN"/>
    <n v="82622"/>
    <n v="109"/>
  </r>
  <r>
    <n v="149315"/>
    <x v="1"/>
    <x v="1"/>
    <s v="Clothing"/>
    <x v="0"/>
    <n v="718"/>
    <s v="Zara"/>
    <s v="311292541-802-2"/>
    <s v="FLEECE BOMBER JACKET"/>
    <n v="109"/>
    <s v="USD"/>
    <d v="2024-02-19T00:00:00"/>
    <x v="37"/>
    <x v="0"/>
    <s v="MAN"/>
    <n v="78262"/>
    <n v="109"/>
  </r>
  <r>
    <n v="149510"/>
    <x v="0"/>
    <x v="0"/>
    <s v="Clothing"/>
    <x v="1"/>
    <n v="1412"/>
    <s v="Zara"/>
    <s v="319205114-807-2"/>
    <s v="ZIPPERED JACKET"/>
    <n v="59.9"/>
    <s v="USD"/>
    <d v="2024-02-19T00:00:00"/>
    <x v="38"/>
    <x v="0"/>
    <s v="MAN"/>
    <n v="84578.8"/>
    <n v="59.9"/>
  </r>
  <r>
    <n v="137990"/>
    <x v="0"/>
    <x v="0"/>
    <s v="Clothing"/>
    <x v="0"/>
    <n v="2929"/>
    <s v="Zara"/>
    <s v="276213846-500-2"/>
    <s v="COTTON JACKET"/>
    <n v="29.99"/>
    <s v="USD"/>
    <d v="2024-02-19T00:00:00"/>
    <x v="39"/>
    <x v="0"/>
    <s v="MAN"/>
    <n v="87840.709999999992"/>
    <n v="29.99"/>
  </r>
  <r>
    <n v="154016"/>
    <x v="1"/>
    <x v="1"/>
    <s v="Clothing"/>
    <x v="1"/>
    <n v="2366"/>
    <s v="Zara"/>
    <s v="328244979-064-48"/>
    <s v="WOOL BLEND TEXTURED JACKET"/>
    <n v="189"/>
    <s v="USD"/>
    <d v="2024-02-19T00:00:00"/>
    <x v="40"/>
    <x v="0"/>
    <s v="MAN"/>
    <n v="447174"/>
    <n v="189"/>
  </r>
  <r>
    <n v="117751"/>
    <x v="0"/>
    <x v="0"/>
    <s v="Clothing"/>
    <x v="0"/>
    <n v="2749"/>
    <s v="Zara"/>
    <s v="323050745-798-97"/>
    <s v="CONTRAST JACQUARD JACKET"/>
    <n v="89.9"/>
    <s v="USD"/>
    <d v="2024-02-19T00:00:00"/>
    <x v="41"/>
    <x v="0"/>
    <s v="MAN"/>
    <n v="247135.1"/>
    <n v="89.9"/>
  </r>
  <r>
    <n v="182362"/>
    <x v="2"/>
    <x v="0"/>
    <s v="Clothing"/>
    <x v="0"/>
    <n v="2019"/>
    <s v="Zara"/>
    <s v="319166635-401-2"/>
    <s v="CROPPED OVERSHIRT"/>
    <n v="69.900000000000006"/>
    <s v="USD"/>
    <d v="2024-02-19T00:00:00"/>
    <x v="41"/>
    <x v="0"/>
    <s v="MAN"/>
    <n v="141128.1"/>
    <n v="69.900000000000006"/>
  </r>
  <r>
    <n v="117725"/>
    <x v="0"/>
    <x v="0"/>
    <s v="Clothing"/>
    <x v="1"/>
    <n v="1506"/>
    <s v="Zara"/>
    <s v="311297489-800-2"/>
    <s v="CONTRASTING PATCHES HOODED JACKET"/>
    <n v="109"/>
    <s v="USD"/>
    <d v="2024-02-19T00:00:00"/>
    <x v="42"/>
    <x v="0"/>
    <s v="MAN"/>
    <n v="164154"/>
    <n v="109"/>
  </r>
  <r>
    <n v="145289"/>
    <x v="1"/>
    <x v="0"/>
    <s v="Clothing"/>
    <x v="0"/>
    <n v="1012"/>
    <s v="Zara"/>
    <s v="311292073-709-2"/>
    <s v="UTILITY POCKET JACKET"/>
    <n v="109"/>
    <s v="USD"/>
    <d v="2024-02-19T00:00:00"/>
    <x v="42"/>
    <x v="0"/>
    <s v="MAN"/>
    <n v="110308"/>
    <n v="109"/>
  </r>
  <r>
    <n v="173576"/>
    <x v="1"/>
    <x v="1"/>
    <s v="Clothing"/>
    <x v="0"/>
    <n v="1838"/>
    <s v="Zara"/>
    <s v="336378923-700-2"/>
    <s v="unavailable data"/>
    <n v="129"/>
    <s v="USD"/>
    <d v="2024-02-19T00:00:00"/>
    <x v="43"/>
    <x v="0"/>
    <s v="MAN"/>
    <n v="237102"/>
    <n v="129"/>
  </r>
  <r>
    <n v="162883"/>
    <x v="2"/>
    <x v="1"/>
    <s v="Clothing"/>
    <x v="0"/>
    <n v="786"/>
    <s v="Zara"/>
    <s v="311307584-518-2"/>
    <s v="TECHNICAL PADDED JACKET"/>
    <n v="139"/>
    <s v="USD"/>
    <d v="2024-02-19T00:00:00"/>
    <x v="44"/>
    <x v="0"/>
    <s v="MAN"/>
    <n v="109254"/>
    <n v="139"/>
  </r>
  <r>
    <n v="135490"/>
    <x v="2"/>
    <x v="0"/>
    <s v="Clothing"/>
    <x v="0"/>
    <n v="1094"/>
    <s v="Zara"/>
    <s v="321151893-609-2"/>
    <s v="MIXED COLLAR WAXED JACKET"/>
    <n v="139"/>
    <s v="USD"/>
    <d v="2024-02-19T00:00:00"/>
    <x v="45"/>
    <x v="0"/>
    <s v="MAN"/>
    <n v="152066"/>
    <n v="139"/>
  </r>
  <r>
    <n v="134763"/>
    <x v="2"/>
    <x v="0"/>
    <s v="Clothing"/>
    <x v="1"/>
    <n v="2048"/>
    <s v="Zara"/>
    <s v="315947178-800-2"/>
    <s v="PADDED BOMBER JACKET"/>
    <n v="89.9"/>
    <s v="USD"/>
    <d v="2024-02-19T00:00:00"/>
    <x v="46"/>
    <x v="0"/>
    <s v="MAN"/>
    <n v="184115.20000000001"/>
    <n v="89.9"/>
  </r>
  <r>
    <n v="125409"/>
    <x v="1"/>
    <x v="1"/>
    <s v="Clothing"/>
    <x v="0"/>
    <n v="2040"/>
    <s v="Zara"/>
    <s v="330290360-427-3"/>
    <s v="POCKET DENIM JACKET"/>
    <n v="89.9"/>
    <s v="USD"/>
    <d v="2024-02-19T00:00:00"/>
    <x v="47"/>
    <x v="0"/>
    <s v="MAN"/>
    <n v="183396"/>
    <n v="89.9"/>
  </r>
  <r>
    <n v="183074"/>
    <x v="0"/>
    <x v="0"/>
    <s v="Clothing"/>
    <x v="0"/>
    <n v="2791"/>
    <s v="Zara"/>
    <s v="320449897-427-2"/>
    <s v="BOXY FIT DENIM JACKET"/>
    <n v="89.9"/>
    <s v="USD"/>
    <d v="2024-02-19T00:00:00"/>
    <x v="48"/>
    <x v="0"/>
    <s v="MAN"/>
    <n v="250910.90000000002"/>
    <n v="89.9"/>
  </r>
  <r>
    <n v="147947"/>
    <x v="0"/>
    <x v="1"/>
    <s v="Clothing"/>
    <x v="1"/>
    <n v="1249"/>
    <s v="Zara"/>
    <s v="311297724-700-97"/>
    <s v="FAUX SHEARLING PLAID JACKET"/>
    <n v="89.9"/>
    <s v="USD"/>
    <d v="2024-02-19T00:00:00"/>
    <x v="48"/>
    <x v="0"/>
    <s v="MAN"/>
    <n v="112285.1"/>
    <n v="89.9"/>
  </r>
  <r>
    <n v="174171"/>
    <x v="2"/>
    <x v="1"/>
    <s v="Clothing"/>
    <x v="1"/>
    <n v="2273"/>
    <s v="Zara"/>
    <s v="328332050-700-97"/>
    <s v="EMBROIDERED FOREST JACKET"/>
    <n v="89.9"/>
    <s v="USD"/>
    <d v="2024-02-19T00:00:00"/>
    <x v="48"/>
    <x v="0"/>
    <s v="MAN"/>
    <n v="204342.7"/>
    <n v="89.9"/>
  </r>
  <r>
    <n v="183064"/>
    <x v="2"/>
    <x v="1"/>
    <s v="Clothing"/>
    <x v="0"/>
    <n v="1773"/>
    <s v="Zara"/>
    <s v="311282469-505-2"/>
    <s v="POCKET OVERSHIRT"/>
    <n v="89.9"/>
    <s v="USD"/>
    <d v="2024-02-19T00:00:00"/>
    <x v="49"/>
    <x v="0"/>
    <s v="MAN"/>
    <n v="159392.70000000001"/>
    <n v="89.9"/>
  </r>
  <r>
    <n v="177131"/>
    <x v="0"/>
    <x v="1"/>
    <s v="Clothing"/>
    <x v="1"/>
    <n v="1733"/>
    <s v="Zara"/>
    <s v="319502128-515-2"/>
    <s v="BOUCLE TEXTURED VEST"/>
    <n v="69.900000000000006"/>
    <s v="USD"/>
    <d v="2024-02-19T00:00:00"/>
    <x v="49"/>
    <x v="0"/>
    <s v="MAN"/>
    <n v="121136.70000000001"/>
    <n v="69.900000000000006"/>
  </r>
  <r>
    <n v="128179"/>
    <x v="1"/>
    <x v="1"/>
    <s v="Clothing"/>
    <x v="0"/>
    <n v="2060"/>
    <s v="Zara"/>
    <s v="311287226-472-2"/>
    <s v="COLOR BLOCK PUFFER JACKET"/>
    <n v="89.9"/>
    <s v="USD"/>
    <d v="2024-02-19T00:00:00"/>
    <x v="50"/>
    <x v="0"/>
    <s v="MAN"/>
    <n v="185194"/>
    <n v="89.9"/>
  </r>
  <r>
    <n v="152723"/>
    <x v="0"/>
    <x v="0"/>
    <s v="Clothing"/>
    <x v="1"/>
    <n v="2849"/>
    <s v="Zara"/>
    <s v="316683359-818-2"/>
    <s v="LONGLINE QUILTED JACKET"/>
    <n v="169"/>
    <s v="USD"/>
    <d v="2024-02-19T00:00:00"/>
    <x v="50"/>
    <x v="0"/>
    <s v="MAN"/>
    <n v="481481"/>
    <n v="169"/>
  </r>
  <r>
    <n v="123824"/>
    <x v="0"/>
    <x v="1"/>
    <s v="Clothing"/>
    <x v="0"/>
    <n v="2277"/>
    <s v="Zara"/>
    <s v="322901350-800-46"/>
    <s v="WOOL BLEND SUIT JACKET"/>
    <n v="169"/>
    <s v="USD"/>
    <d v="2024-02-19T00:00:00"/>
    <x v="51"/>
    <x v="0"/>
    <s v="MAN"/>
    <n v="384813"/>
    <n v="169"/>
  </r>
  <r>
    <n v="166345"/>
    <x v="0"/>
    <x v="0"/>
    <s v="Clothing"/>
    <x v="1"/>
    <n v="1135"/>
    <s v="Zara"/>
    <s v="322929313-802-97"/>
    <s v="HOODED KNIT CARDIGAN"/>
    <n v="69.900000000000006"/>
    <s v="USD"/>
    <d v="2024-02-19T00:00:00"/>
    <x v="51"/>
    <x v="0"/>
    <s v="MAN"/>
    <n v="79336.5"/>
    <n v="69.900000000000006"/>
  </r>
  <r>
    <n v="199279"/>
    <x v="0"/>
    <x v="0"/>
    <s v="Clothing"/>
    <x v="0"/>
    <n v="1770"/>
    <s v="Zara"/>
    <s v="267186163-643-2"/>
    <s v="HOODED TECHNICAL JACKET"/>
    <n v="19.989999999999998"/>
    <s v="USD"/>
    <d v="2024-02-19T00:00:00"/>
    <x v="52"/>
    <x v="0"/>
    <s v="MAN"/>
    <n v="35382.299999999996"/>
    <n v="19.989999999999998"/>
  </r>
  <r>
    <n v="167981"/>
    <x v="1"/>
    <x v="0"/>
    <s v="Clothing"/>
    <x v="0"/>
    <n v="730"/>
    <s v="Zara"/>
    <s v="329706743-401-46"/>
    <s v="HOUNDSTOOTH SUIT JACKET"/>
    <n v="139"/>
    <s v="USD"/>
    <d v="2024-02-19T00:00:00"/>
    <x v="52"/>
    <x v="0"/>
    <s v="MAN"/>
    <n v="101470"/>
    <n v="139"/>
  </r>
  <r>
    <n v="165158"/>
    <x v="2"/>
    <x v="0"/>
    <s v="Clothing"/>
    <x v="0"/>
    <n v="1622"/>
    <s v="Zara"/>
    <s v="323675323-700-2"/>
    <s v="WASHED EFFECT BOMBER JACKET"/>
    <n v="109"/>
    <s v="USD"/>
    <d v="2024-02-19T00:00:00"/>
    <x v="53"/>
    <x v="0"/>
    <s v="MAN"/>
    <n v="176798"/>
    <n v="109"/>
  </r>
  <r>
    <n v="111521"/>
    <x v="2"/>
    <x v="1"/>
    <s v="Clothing"/>
    <x v="1"/>
    <n v="2553"/>
    <s v="Zara"/>
    <s v="323672371-507-2"/>
    <s v="WASHED TECHNICAL JACKET"/>
    <n v="99.9"/>
    <s v="USD"/>
    <d v="2024-02-19T00:00:00"/>
    <x v="54"/>
    <x v="0"/>
    <s v="MAN"/>
    <n v="255044.7"/>
    <n v="99.9"/>
  </r>
  <r>
    <n v="198329"/>
    <x v="2"/>
    <x v="1"/>
    <s v="Clothing"/>
    <x v="1"/>
    <n v="628"/>
    <s v="Zara"/>
    <s v="323212374-510-2"/>
    <s v="MIXED COLLAR JACKET"/>
    <n v="109"/>
    <s v="USD"/>
    <d v="2024-02-19T00:00:00"/>
    <x v="55"/>
    <x v="0"/>
    <s v="MAN"/>
    <n v="68452"/>
    <n v="109"/>
  </r>
  <r>
    <n v="110295"/>
    <x v="1"/>
    <x v="1"/>
    <s v="Clothing"/>
    <x v="0"/>
    <n v="1448"/>
    <s v="Zara"/>
    <s v="322547863-811-2"/>
    <s v="HOODED DENIM JACKET"/>
    <n v="129"/>
    <s v="USD"/>
    <d v="2024-02-19T00:00:00"/>
    <x v="56"/>
    <x v="0"/>
    <s v="MAN"/>
    <n v="186792"/>
    <n v="129"/>
  </r>
  <r>
    <n v="196427"/>
    <x v="0"/>
    <x v="1"/>
    <s v="Clothing"/>
    <x v="0"/>
    <n v="1401"/>
    <s v="Zara"/>
    <s v="320600266-745-2"/>
    <s v="WAXED EFFECT PLAID JACKET"/>
    <n v="169"/>
    <s v="USD"/>
    <d v="2024-02-19T00:00:00"/>
    <x v="56"/>
    <x v="0"/>
    <s v="MAN"/>
    <n v="236769"/>
    <n v="169"/>
  </r>
  <r>
    <n v="110075"/>
    <x v="2"/>
    <x v="1"/>
    <s v="Clothing"/>
    <x v="1"/>
    <n v="2185"/>
    <s v="Zara"/>
    <s v="320771732-800-2"/>
    <s v="WOOL BLEND FELT TEXTURE JACKET"/>
    <n v="159"/>
    <s v="USD"/>
    <d v="2024-02-19T00:00:00"/>
    <x v="57"/>
    <x v="0"/>
    <s v="MAN"/>
    <n v="347415"/>
    <n v="159"/>
  </r>
  <r>
    <n v="132322"/>
    <x v="2"/>
    <x v="1"/>
    <s v="Clothing"/>
    <x v="0"/>
    <n v="2135"/>
    <s v="Zara"/>
    <s v="289179723-020-2"/>
    <s v="PRINTED DENIM OVERSHIRT"/>
    <n v="12.99"/>
    <s v="USD"/>
    <d v="2024-02-19T00:00:00"/>
    <x v="58"/>
    <x v="0"/>
    <s v="MAN"/>
    <n v="27733.65"/>
    <n v="12.99"/>
  </r>
  <r>
    <n v="199631"/>
    <x v="2"/>
    <x v="1"/>
    <s v="Clothing"/>
    <x v="0"/>
    <n v="1269"/>
    <s v="Zara"/>
    <s v="327747299-800-2"/>
    <s v="STRUCTURED TWILL OVERSHIRT"/>
    <n v="89.9"/>
    <s v="USD"/>
    <d v="2024-02-19T00:00:00"/>
    <x v="59"/>
    <x v="0"/>
    <s v="MAN"/>
    <n v="114083.1"/>
    <n v="89.9"/>
  </r>
  <r>
    <n v="182306"/>
    <x v="2"/>
    <x v="0"/>
    <s v="Clothing"/>
    <x v="0"/>
    <n v="2805"/>
    <s v="Zara"/>
    <s v="317782501-701-2"/>
    <s v="COTTON OVERSHIRT"/>
    <n v="89.9"/>
    <s v="USD"/>
    <d v="2024-02-19T00:00:00"/>
    <x v="60"/>
    <x v="0"/>
    <s v="MAN"/>
    <n v="252169.50000000003"/>
    <n v="89.9"/>
  </r>
  <r>
    <n v="131298"/>
    <x v="1"/>
    <x v="1"/>
    <s v="Clothing"/>
    <x v="0"/>
    <n v="2133"/>
    <s v="Zara"/>
    <s v="322612356-505-2"/>
    <s v="PLAID OVERSHIRT"/>
    <n v="69.900000000000006"/>
    <s v="USD"/>
    <d v="2024-02-19T00:00:00"/>
    <x v="61"/>
    <x v="0"/>
    <s v="MAN"/>
    <n v="149096.70000000001"/>
    <n v="69.900000000000006"/>
  </r>
  <r>
    <n v="154224"/>
    <x v="1"/>
    <x v="1"/>
    <s v="Clothing"/>
    <x v="0"/>
    <n v="2474"/>
    <s v="Zara"/>
    <s v="329282612-401-2"/>
    <s v="100% LINEN OVERSHIRT"/>
    <n v="89.9"/>
    <s v="USD"/>
    <d v="2024-02-19T00:00:00"/>
    <x v="62"/>
    <x v="0"/>
    <s v="MAN"/>
    <n v="222412.6"/>
    <n v="89.9"/>
  </r>
  <r>
    <n v="119049"/>
    <x v="0"/>
    <x v="0"/>
    <s v="Clothing"/>
    <x v="1"/>
    <n v="1659"/>
    <s v="Zara"/>
    <s v="323216360-406-2"/>
    <s v="POCKET DENIM OVERSHIRT"/>
    <n v="89.9"/>
    <s v="USD"/>
    <d v="2024-02-19T00:00:00"/>
    <x v="63"/>
    <x v="0"/>
    <s v="MAN"/>
    <n v="149144.1"/>
    <n v="89.9"/>
  </r>
  <r>
    <n v="158781"/>
    <x v="1"/>
    <x v="1"/>
    <s v="Clothing"/>
    <x v="1"/>
    <n v="2443"/>
    <s v="Zara"/>
    <s v="318209963-800-2"/>
    <s v="FAUX SUEDE OVERSHIRT"/>
    <n v="69.900000000000006"/>
    <s v="USD"/>
    <d v="2024-02-19T00:00:00"/>
    <x v="63"/>
    <x v="0"/>
    <s v="MAN"/>
    <n v="170765.7"/>
    <n v="69.900000000000006"/>
  </r>
  <r>
    <n v="152871"/>
    <x v="1"/>
    <x v="0"/>
    <s v="Clothing"/>
    <x v="1"/>
    <n v="1847"/>
    <s v="Zara"/>
    <s v="312571093-710-2"/>
    <s v="TEXTURED POCKET OVERSHIRT"/>
    <n v="69.900000000000006"/>
    <s v="USD"/>
    <d v="2024-02-19T00:00:00"/>
    <x v="64"/>
    <x v="0"/>
    <s v="MAN"/>
    <n v="129105.30000000002"/>
    <n v="69.900000000000006"/>
  </r>
  <r>
    <n v="134104"/>
    <x v="1"/>
    <x v="0"/>
    <s v="Clothing"/>
    <x v="1"/>
    <n v="1466"/>
    <s v="Zara"/>
    <s v="313027279-800-2"/>
    <s v="OVERSHIRT"/>
    <n v="59.9"/>
    <s v="USD"/>
    <d v="2024-02-19T00:00:00"/>
    <x v="65"/>
    <x v="0"/>
    <s v="MAN"/>
    <n v="87813.4"/>
    <n v="59.9"/>
  </r>
  <r>
    <n v="183537"/>
    <x v="2"/>
    <x v="1"/>
    <s v="Clothing"/>
    <x v="1"/>
    <n v="2434"/>
    <s v="Zara"/>
    <s v="281883711-071-2"/>
    <s v="PAINT PRINT OVERSHIRT"/>
    <n v="19.989999999999998"/>
    <s v="USD"/>
    <d v="2024-02-19T00:00:00"/>
    <x v="66"/>
    <x v="0"/>
    <s v="MAN"/>
    <n v="48655.659999999996"/>
    <n v="19.989999999999998"/>
  </r>
  <r>
    <n v="150424"/>
    <x v="2"/>
    <x v="0"/>
    <s v="Clothing"/>
    <x v="1"/>
    <n v="2067"/>
    <s v="Zara"/>
    <s v="313008692-514-2"/>
    <s v="PADDED CORDUROY OVERSHIRT"/>
    <n v="79.900000000000006"/>
    <s v="USD"/>
    <d v="2024-02-19T00:00:00"/>
    <x v="66"/>
    <x v="0"/>
    <s v="MAN"/>
    <n v="165153.30000000002"/>
    <n v="79.900000000000006"/>
  </r>
  <r>
    <n v="183825"/>
    <x v="0"/>
    <x v="1"/>
    <s v="Clothing"/>
    <x v="1"/>
    <n v="2989"/>
    <s v="Zara"/>
    <s v="281593208-015-2"/>
    <s v="PLAID TIE DYE OVERSHIRT"/>
    <n v="19.989999999999998"/>
    <s v="USD"/>
    <d v="2024-02-19T00:00:00"/>
    <x v="67"/>
    <x v="0"/>
    <s v="MAN"/>
    <n v="59750.109999999993"/>
    <n v="19.989999999999998"/>
  </r>
  <r>
    <n v="144012"/>
    <x v="2"/>
    <x v="1"/>
    <s v="Clothing"/>
    <x v="0"/>
    <n v="743"/>
    <s v="Zara"/>
    <s v="314937772-710-2"/>
    <s v="OVERSHIRT WITH CONTRASTING TOPSTITCHING"/>
    <n v="59.9"/>
    <s v="USD"/>
    <d v="2024-02-19T00:00:00"/>
    <x v="67"/>
    <x v="0"/>
    <s v="MAN"/>
    <n v="44505.7"/>
    <n v="59.9"/>
  </r>
  <r>
    <n v="147051"/>
    <x v="2"/>
    <x v="0"/>
    <s v="Clothing"/>
    <x v="0"/>
    <n v="2325"/>
    <s v="Zara"/>
    <s v="320278659-251-2"/>
    <s v="QUILTED STRUCTURED OVERSHIRT"/>
    <n v="109"/>
    <s v="USD"/>
    <d v="2024-02-19T00:00:00"/>
    <x v="68"/>
    <x v="0"/>
    <s v="MAN"/>
    <n v="253425"/>
    <n v="109"/>
  </r>
  <r>
    <n v="185800"/>
    <x v="1"/>
    <x v="0"/>
    <s v="Clothing"/>
    <x v="1"/>
    <n v="1841"/>
    <s v="Zara"/>
    <s v="321993245-500-2"/>
    <s v="TECHNICAL OVERSHIRT"/>
    <n v="109"/>
    <s v="USD"/>
    <d v="2024-02-19T00:00:00"/>
    <x v="68"/>
    <x v="0"/>
    <s v="MAN"/>
    <n v="200669"/>
    <n v="109"/>
  </r>
  <r>
    <n v="148823"/>
    <x v="0"/>
    <x v="0"/>
    <s v="Clothing"/>
    <x v="1"/>
    <n v="2211"/>
    <s v="Zara"/>
    <s v="320680326-107-39"/>
    <s v="SUEDE FISHERMAN SANDALS"/>
    <n v="89.9"/>
    <s v="USD"/>
    <d v="2024-02-19T00:00:00"/>
    <x v="69"/>
    <x v="1"/>
    <s v="MAN"/>
    <n v="198768.90000000002"/>
    <n v="89.9"/>
  </r>
  <r>
    <n v="114550"/>
    <x v="1"/>
    <x v="0"/>
    <s v="Clothing"/>
    <x v="0"/>
    <n v="2114"/>
    <s v="Zara"/>
    <s v="311292244-800-39"/>
    <s v="ZIPPER MULTIPIECE SNEAKERS"/>
    <n v="69.900000000000006"/>
    <s v="USD"/>
    <d v="2024-02-19T00:00:00"/>
    <x v="70"/>
    <x v="1"/>
    <s v="MAN"/>
    <n v="147768.6"/>
    <n v="69.900000000000006"/>
  </r>
  <r>
    <n v="125398"/>
    <x v="0"/>
    <x v="1"/>
    <s v="Clothing"/>
    <x v="1"/>
    <n v="1350"/>
    <s v="Zara"/>
    <s v="311307610-400-39"/>
    <s v="SUEDE LACELESS SNEAKERS"/>
    <n v="69.900000000000006"/>
    <s v="USD"/>
    <d v="2024-02-19T00:00:00"/>
    <x v="71"/>
    <x v="1"/>
    <s v="MAN"/>
    <n v="94365.000000000015"/>
    <n v="69.900000000000006"/>
  </r>
  <r>
    <n v="123985"/>
    <x v="1"/>
    <x v="0"/>
    <s v="Clothing"/>
    <x v="0"/>
    <n v="2240"/>
    <s v="Zara"/>
    <s v="311302877-203-39"/>
    <s v="MULTICOLOR SNEAKERS"/>
    <n v="69.900000000000006"/>
    <s v="USD"/>
    <d v="2024-02-19T00:00:00"/>
    <x v="71"/>
    <x v="1"/>
    <s v="MAN"/>
    <n v="156576"/>
    <n v="69.900000000000006"/>
  </r>
  <r>
    <n v="186638"/>
    <x v="1"/>
    <x v="1"/>
    <s v="Clothing"/>
    <x v="0"/>
    <n v="1296"/>
    <s v="Zara"/>
    <s v="311302598-500-39"/>
    <s v="RETRO RUNNING SNEAKERS"/>
    <n v="59.9"/>
    <s v="USD"/>
    <d v="2024-02-19T00:00:00"/>
    <x v="72"/>
    <x v="1"/>
    <s v="MAN"/>
    <n v="77630.399999999994"/>
    <n v="59.9"/>
  </r>
  <r>
    <n v="167281"/>
    <x v="1"/>
    <x v="1"/>
    <s v="Clothing"/>
    <x v="1"/>
    <n v="892"/>
    <s v="Zara"/>
    <s v="311297328-800-39"/>
    <s v="SUEDE HIGH-TOPS"/>
    <n v="59.9"/>
    <s v="USD"/>
    <d v="2024-02-19T00:00:00"/>
    <x v="73"/>
    <x v="1"/>
    <s v="MAN"/>
    <n v="53430.799999999996"/>
    <n v="59.9"/>
  </r>
  <r>
    <n v="118578"/>
    <x v="1"/>
    <x v="0"/>
    <s v="Clothing"/>
    <x v="1"/>
    <n v="1678"/>
    <s v="Zara"/>
    <s v="311302865-804-39"/>
    <s v="SUEDE STRAP SANDALS"/>
    <n v="49.9"/>
    <s v="USD"/>
    <d v="2024-02-19T00:00:00"/>
    <x v="73"/>
    <x v="1"/>
    <s v="MAN"/>
    <n v="83732.2"/>
    <n v="49.9"/>
  </r>
  <r>
    <n v="174041"/>
    <x v="1"/>
    <x v="0"/>
    <s v="Clothing"/>
    <x v="0"/>
    <n v="2016"/>
    <s v="Zara"/>
    <s v="311307489-203-39"/>
    <s v="MULTIPIECE SNEAKERS"/>
    <n v="49.9"/>
    <s v="USD"/>
    <d v="2024-02-19T00:00:00"/>
    <x v="74"/>
    <x v="1"/>
    <s v="MAN"/>
    <n v="100598.39999999999"/>
    <n v="49.9"/>
  </r>
  <r>
    <n v="127644"/>
    <x v="2"/>
    <x v="0"/>
    <s v="Clothing"/>
    <x v="1"/>
    <n v="1498"/>
    <s v="Zara"/>
    <s v="311287075-120-39"/>
    <s v="TOPSTITCH SNEAKERS"/>
    <n v="45.9"/>
    <s v="USD"/>
    <d v="2024-02-19T00:00:00"/>
    <x v="75"/>
    <x v="1"/>
    <s v="MAN"/>
    <n v="68758.2"/>
    <n v="45.9"/>
  </r>
  <r>
    <n v="132007"/>
    <x v="0"/>
    <x v="0"/>
    <s v="Clothing"/>
    <x v="1"/>
    <n v="2491"/>
    <s v="Zara"/>
    <s v="276378605-515-39"/>
    <s v="RETRO SNEAKERS"/>
    <n v="9.99"/>
    <s v="USD"/>
    <d v="2024-02-19T00:00:00"/>
    <x v="75"/>
    <x v="1"/>
    <s v="MAN"/>
    <n v="24885.09"/>
    <n v="9.99"/>
  </r>
  <r>
    <n v="147998"/>
    <x v="0"/>
    <x v="0"/>
    <s v="Clothing"/>
    <x v="0"/>
    <n v="2556"/>
    <s v="Zara"/>
    <s v="277776476-700-39"/>
    <s v="RETRO HIGH TOP SNEAKERS"/>
    <n v="9.99"/>
    <s v="USD"/>
    <d v="2024-02-19T00:00:00"/>
    <x v="76"/>
    <x v="1"/>
    <s v="MAN"/>
    <n v="25534.440000000002"/>
    <n v="9.99"/>
  </r>
  <r>
    <n v="176666"/>
    <x v="0"/>
    <x v="1"/>
    <s v="Clothing"/>
    <x v="0"/>
    <n v="2852"/>
    <s v="Zara"/>
    <s v="313381662-202-39"/>
    <s v="MULTI-PIECED RETRO SNEAKERS"/>
    <n v="45.9"/>
    <s v="USD"/>
    <d v="2024-02-19T00:00:00"/>
    <x v="77"/>
    <x v="1"/>
    <s v="MAN"/>
    <n v="130906.8"/>
    <n v="45.9"/>
  </r>
  <r>
    <n v="193686"/>
    <x v="0"/>
    <x v="1"/>
    <s v="Clothing"/>
    <x v="0"/>
    <n v="1899"/>
    <s v="Zara"/>
    <s v="311292343-700-39"/>
    <s v="TASSEL LEATHER LOAFERS"/>
    <n v="99.9"/>
    <s v="USD"/>
    <d v="2024-02-19T00:00:00"/>
    <x v="77"/>
    <x v="1"/>
    <s v="MAN"/>
    <n v="189710.1"/>
    <n v="99.9"/>
  </r>
  <r>
    <n v="163610"/>
    <x v="2"/>
    <x v="1"/>
    <s v="Clothing"/>
    <x v="0"/>
    <n v="2466"/>
    <s v="Zara"/>
    <s v="311309627-805-39"/>
    <s v="MOC-TOE SUEDE BOOTS"/>
    <n v="89.9"/>
    <s v="USD"/>
    <d v="2024-02-19T00:00:00"/>
    <x v="78"/>
    <x v="1"/>
    <s v="MAN"/>
    <n v="221693.40000000002"/>
    <n v="89.9"/>
  </r>
  <r>
    <n v="170364"/>
    <x v="0"/>
    <x v="0"/>
    <s v="Clothing"/>
    <x v="0"/>
    <n v="818"/>
    <s v="Zara"/>
    <s v="315851805-800-39"/>
    <s v="STRAP SANDALS"/>
    <n v="45.9"/>
    <s v="USD"/>
    <d v="2024-02-19T00:00:00"/>
    <x v="79"/>
    <x v="1"/>
    <s v="MAN"/>
    <n v="37546.199999999997"/>
    <n v="45.9"/>
  </r>
  <r>
    <n v="167599"/>
    <x v="0"/>
    <x v="0"/>
    <s v="Clothing"/>
    <x v="0"/>
    <n v="1500"/>
    <s v="Zara"/>
    <s v="311292644-400-39"/>
    <s v="SUEDE RETRO SNEAKERS"/>
    <n v="59.9"/>
    <s v="USD"/>
    <d v="2024-02-19T00:00:00"/>
    <x v="80"/>
    <x v="1"/>
    <s v="MAN"/>
    <n v="89850"/>
    <n v="59.9"/>
  </r>
  <r>
    <n v="166421"/>
    <x v="1"/>
    <x v="1"/>
    <s v="Clothing"/>
    <x v="0"/>
    <n v="2878"/>
    <s v="Zara"/>
    <s v="311302552-800-39"/>
    <s v="HIKING BOOTS"/>
    <n v="79.900000000000006"/>
    <s v="USD"/>
    <d v="2024-02-19T00:00:00"/>
    <x v="81"/>
    <x v="1"/>
    <s v="MAN"/>
    <n v="229952.2"/>
    <n v="79.900000000000006"/>
  </r>
  <r>
    <n v="129247"/>
    <x v="2"/>
    <x v="1"/>
    <s v="Clothing"/>
    <x v="0"/>
    <n v="2386"/>
    <s v="Zara"/>
    <s v="311302532-102-39"/>
    <s v="SUEDE SNEAKERS"/>
    <n v="69.900000000000006"/>
    <s v="USD"/>
    <d v="2024-02-19T00:00:00"/>
    <x v="82"/>
    <x v="1"/>
    <s v="MAN"/>
    <n v="166781.40000000002"/>
    <n v="69.900000000000006"/>
  </r>
  <r>
    <n v="127314"/>
    <x v="1"/>
    <x v="1"/>
    <s v="Clothing"/>
    <x v="1"/>
    <n v="2076"/>
    <s v="Zara"/>
    <s v="311287147-723-39"/>
    <s v="FAUX SHEARLING LINED SUEDE BOOTS"/>
    <n v="99.9"/>
    <s v="USD"/>
    <d v="2024-02-19T00:00:00"/>
    <x v="83"/>
    <x v="1"/>
    <s v="MAN"/>
    <n v="207392.40000000002"/>
    <n v="99.9"/>
  </r>
  <r>
    <n v="111979"/>
    <x v="2"/>
    <x v="0"/>
    <s v="Clothing"/>
    <x v="0"/>
    <n v="2734"/>
    <s v="Zara"/>
    <s v="311307332-202-39"/>
    <s v="CHUNKY SNEAKERS"/>
    <n v="59.9"/>
    <s v="USD"/>
    <d v="2024-02-19T00:00:00"/>
    <x v="83"/>
    <x v="1"/>
    <s v="MAN"/>
    <n v="163766.6"/>
    <n v="59.9"/>
  </r>
  <r>
    <n v="120354"/>
    <x v="0"/>
    <x v="1"/>
    <s v="Clothing"/>
    <x v="0"/>
    <n v="2836"/>
    <s v="Zara"/>
    <s v="311282293-131-39"/>
    <s v="DOUBLE STRAP SUEDE SANDALS"/>
    <n v="59.9"/>
    <s v="USD"/>
    <d v="2024-02-19T00:00:00"/>
    <x v="84"/>
    <x v="1"/>
    <s v="MAN"/>
    <n v="169876.4"/>
    <n v="59.9"/>
  </r>
  <r>
    <n v="144848"/>
    <x v="2"/>
    <x v="0"/>
    <s v="Clothing"/>
    <x v="0"/>
    <n v="2193"/>
    <s v="Zara"/>
    <s v="311287149-800-39"/>
    <s v="CHUNKY SOLE CANVAS LACE-UP BOOTS"/>
    <n v="89.9"/>
    <s v="USD"/>
    <d v="2024-02-19T00:00:00"/>
    <x v="85"/>
    <x v="1"/>
    <s v="MAN"/>
    <n v="197150.7"/>
    <n v="89.9"/>
  </r>
  <r>
    <n v="111957"/>
    <x v="0"/>
    <x v="1"/>
    <s v="Clothing"/>
    <x v="0"/>
    <n v="2164"/>
    <s v="Zara"/>
    <s v="311307624-500-39"/>
    <s v="SUEDE PENNY LOAFERS"/>
    <n v="89.9"/>
    <s v="USD"/>
    <d v="2024-02-19T00:00:00"/>
    <x v="86"/>
    <x v="1"/>
    <s v="MAN"/>
    <n v="194543.6"/>
    <n v="89.9"/>
  </r>
  <r>
    <n v="160763"/>
    <x v="2"/>
    <x v="1"/>
    <s v="Clothing"/>
    <x v="1"/>
    <n v="991"/>
    <s v="Zara"/>
    <s v="311282212-800-39"/>
    <s v="ADHERENT STRIPES SNEAKERS"/>
    <n v="45.9"/>
    <s v="USD"/>
    <d v="2024-02-19T00:00:00"/>
    <x v="87"/>
    <x v="1"/>
    <s v="MAN"/>
    <n v="45486.9"/>
    <n v="45.9"/>
  </r>
  <r>
    <n v="195082"/>
    <x v="2"/>
    <x v="0"/>
    <s v="Clothing"/>
    <x v="0"/>
    <n v="923"/>
    <s v="Zara"/>
    <s v="311302515-800-39"/>
    <s v="CHUNKY SOLE HIGH TOP SNEAKERS"/>
    <n v="69.900000000000006"/>
    <s v="USD"/>
    <d v="2024-02-19T00:00:00"/>
    <x v="88"/>
    <x v="1"/>
    <s v="MAN"/>
    <n v="64517.700000000004"/>
    <n v="69.900000000000006"/>
  </r>
  <r>
    <n v="110329"/>
    <x v="2"/>
    <x v="0"/>
    <s v="Clothing"/>
    <x v="1"/>
    <n v="2397"/>
    <s v="Zara"/>
    <s v="314937773-800-39"/>
    <s v="CONTRAST SOLE LEATHER SNEAKERS"/>
    <n v="69.900000000000006"/>
    <s v="USD"/>
    <d v="2024-02-19T00:00:00"/>
    <x v="88"/>
    <x v="1"/>
    <s v="MAN"/>
    <n v="167550.30000000002"/>
    <n v="69.900000000000006"/>
  </r>
  <r>
    <n v="147449"/>
    <x v="1"/>
    <x v="0"/>
    <s v="Clothing"/>
    <x v="0"/>
    <n v="1191"/>
    <s v="Zara"/>
    <s v="316608794-802-39"/>
    <s v="SUEDE RUNNING SNEAKERS"/>
    <n v="69.900000000000006"/>
    <s v="USD"/>
    <d v="2024-02-19T00:00:00"/>
    <x v="89"/>
    <x v="1"/>
    <s v="MAN"/>
    <n v="83250.900000000009"/>
    <n v="69.900000000000006"/>
  </r>
  <r>
    <n v="193332"/>
    <x v="0"/>
    <x v="1"/>
    <s v="Clothing"/>
    <x v="0"/>
    <n v="1237"/>
    <s v="Zara"/>
    <s v="319205037-800-39"/>
    <s v="WOVEN LEATHER SLIDES"/>
    <n v="49.9"/>
    <s v="USD"/>
    <d v="2024-02-19T00:00:00"/>
    <x v="89"/>
    <x v="1"/>
    <s v="MAN"/>
    <n v="61726.299999999996"/>
    <n v="49.9"/>
  </r>
  <r>
    <n v="188909"/>
    <x v="0"/>
    <x v="1"/>
    <s v="Clothing"/>
    <x v="1"/>
    <n v="2863"/>
    <s v="Zara"/>
    <s v="336449731-712-1"/>
    <s v="ASYMMETRIC CROPPED KNIT SWEATER"/>
    <n v="39.9"/>
    <s v="USD"/>
    <d v="2024-02-19T00:00:00"/>
    <x v="90"/>
    <x v="2"/>
    <s v="WOMAN"/>
    <n v="114233.7"/>
    <n v="39.9"/>
  </r>
  <r>
    <n v="165910"/>
    <x v="1"/>
    <x v="1"/>
    <s v="Clothing"/>
    <x v="0"/>
    <n v="2760"/>
    <s v="Zara"/>
    <s v="313890651-712-2"/>
    <s v="KNIT SWEATER WITH PEARLS"/>
    <n v="69.900000000000006"/>
    <s v="USD"/>
    <d v="2024-02-19T00:00:00"/>
    <x v="91"/>
    <x v="2"/>
    <s v="WOMAN"/>
    <n v="192924.00000000003"/>
    <n v="69.900000000000006"/>
  </r>
  <r>
    <n v="136738"/>
    <x v="2"/>
    <x v="0"/>
    <s v="Clothing"/>
    <x v="1"/>
    <n v="542"/>
    <s v="Zara"/>
    <s v="287414911-803-2"/>
    <s v="HIGH COLLAR KNIT SWEATER"/>
    <n v="7.99"/>
    <s v="USD"/>
    <d v="2024-02-19T00:00:00"/>
    <x v="92"/>
    <x v="2"/>
    <s v="WOMAN"/>
    <n v="4330.58"/>
    <n v="7.99"/>
  </r>
  <r>
    <n v="144497"/>
    <x v="1"/>
    <x v="1"/>
    <s v="Clothing"/>
    <x v="1"/>
    <n v="1105"/>
    <s v="Zara"/>
    <s v="342171615-104-2"/>
    <s v="STRIPED KNIT SWEATER"/>
    <n v="49.9"/>
    <s v="USD"/>
    <d v="2024-02-19T00:00:00"/>
    <x v="92"/>
    <x v="2"/>
    <s v="WOMAN"/>
    <n v="55139.5"/>
    <n v="49.9"/>
  </r>
  <r>
    <n v="135036"/>
    <x v="1"/>
    <x v="1"/>
    <s v="Clothing"/>
    <x v="0"/>
    <n v="1435"/>
    <s v="Zara"/>
    <s v="314152967-485-2"/>
    <s v="CABLE KNIT METALLIC SWEATER"/>
    <n v="49.9"/>
    <s v="USD"/>
    <d v="2024-02-19T00:00:00"/>
    <x v="93"/>
    <x v="2"/>
    <s v="WOMAN"/>
    <n v="71606.5"/>
    <n v="49.9"/>
  </r>
  <r>
    <n v="166331"/>
    <x v="0"/>
    <x v="1"/>
    <s v="Clothing"/>
    <x v="1"/>
    <n v="2877"/>
    <s v="Zara"/>
    <s v="324186867-642-2"/>
    <s v="ASYMMETRICAL WOOL AND SILK BLEND SWEATER"/>
    <n v="59.9"/>
    <s v="USD"/>
    <d v="2024-02-19T00:00:00"/>
    <x v="94"/>
    <x v="2"/>
    <s v="WOMAN"/>
    <n v="172332.3"/>
    <n v="59.9"/>
  </r>
  <r>
    <n v="118569"/>
    <x v="0"/>
    <x v="0"/>
    <s v="Clothing"/>
    <x v="1"/>
    <n v="994"/>
    <s v="Zara"/>
    <s v="313890645-330-2"/>
    <s v="ALPACA AND WOOL BLEND TIE DYE KNIT SWEATER"/>
    <n v="49.9"/>
    <s v="USD"/>
    <d v="2024-02-19T00:00:00"/>
    <x v="95"/>
    <x v="2"/>
    <s v="WOMAN"/>
    <n v="49600.6"/>
    <n v="49.9"/>
  </r>
  <r>
    <n v="155848"/>
    <x v="1"/>
    <x v="1"/>
    <s v="Clothing"/>
    <x v="0"/>
    <n v="1942"/>
    <s v="Zara"/>
    <s v="324597432-800-2"/>
    <s v="MOCK NECK WOOL AND SILK BLEND KNIT TOP"/>
    <n v="49.9"/>
    <s v="USD"/>
    <d v="2024-02-19T00:00:00"/>
    <x v="95"/>
    <x v="2"/>
    <s v="WOMAN"/>
    <n v="96905.8"/>
    <n v="49.9"/>
  </r>
  <r>
    <n v="152563"/>
    <x v="2"/>
    <x v="0"/>
    <s v="Clothing"/>
    <x v="1"/>
    <n v="2572"/>
    <s v="Zara"/>
    <s v="313890686-731-2"/>
    <s v="CASHMERE BLEND KNIT SWEATER"/>
    <n v="169"/>
    <s v="USD"/>
    <d v="2024-02-19T00:00:00"/>
    <x v="96"/>
    <x v="2"/>
    <s v="WOMAN"/>
    <n v="434668"/>
    <n v="169"/>
  </r>
  <r>
    <n v="115153"/>
    <x v="0"/>
    <x v="0"/>
    <s v="Clothing"/>
    <x v="0"/>
    <n v="1736"/>
    <s v="Zara"/>
    <s v="313890650-712-2"/>
    <s v="ALPACA BLEND OPEN KNIT SWEATER"/>
    <n v="79.900000000000006"/>
    <s v="USD"/>
    <d v="2024-02-19T00:00:00"/>
    <x v="97"/>
    <x v="2"/>
    <s v="WOMAN"/>
    <n v="138706.40000000002"/>
    <n v="79.90000000000002"/>
  </r>
  <r>
    <n v="125938"/>
    <x v="0"/>
    <x v="1"/>
    <s v="Clothing"/>
    <x v="1"/>
    <n v="1204"/>
    <s v="Zara"/>
    <s v="313890680-450-2"/>
    <s v="OVERSIZED KNIT SWEATER"/>
    <n v="49.9"/>
    <s v="USD"/>
    <d v="2024-02-19T00:00:00"/>
    <x v="97"/>
    <x v="2"/>
    <s v="WOMAN"/>
    <n v="60079.6"/>
    <n v="49.9"/>
  </r>
  <r>
    <n v="122809"/>
    <x v="1"/>
    <x v="0"/>
    <s v="Clothing"/>
    <x v="1"/>
    <n v="1592"/>
    <s v="Zara"/>
    <s v="344575855-982-2"/>
    <s v="WOOL BLEND KNIT SWEATER"/>
    <n v="49.9"/>
    <s v="USD"/>
    <d v="2024-02-19T00:00:00"/>
    <x v="98"/>
    <x v="2"/>
    <s v="WOMAN"/>
    <n v="79440.800000000003"/>
    <n v="49.9"/>
  </r>
  <r>
    <n v="181502"/>
    <x v="2"/>
    <x v="1"/>
    <s v="Clothing"/>
    <x v="0"/>
    <n v="2591"/>
    <s v="Zara"/>
    <s v="323175653-803-2"/>
    <s v="SOFT JEWEL SWEATER"/>
    <n v="39.9"/>
    <s v="USD"/>
    <d v="2024-02-19T00:00:00"/>
    <x v="98"/>
    <x v="2"/>
    <s v="WOMAN"/>
    <n v="103380.9"/>
    <n v="39.9"/>
  </r>
  <r>
    <n v="182779"/>
    <x v="1"/>
    <x v="1"/>
    <s v="Clothing"/>
    <x v="1"/>
    <n v="2097"/>
    <s v="Zara"/>
    <s v="324814227-400-2"/>
    <s v="FAUX FUR JEWEL SWEATER"/>
    <n v="35.9"/>
    <s v="USD"/>
    <d v="2024-02-19T00:00:00"/>
    <x v="99"/>
    <x v="2"/>
    <s v="WOMAN"/>
    <n v="75282.3"/>
    <n v="35.9"/>
  </r>
  <r>
    <n v="155674"/>
    <x v="2"/>
    <x v="0"/>
    <s v="Clothing"/>
    <x v="0"/>
    <n v="897"/>
    <s v="Zara"/>
    <s v="323218942-800-2"/>
    <s v="METAL BEAD KNIT SWEATER"/>
    <n v="49.9"/>
    <s v="USD"/>
    <d v="2024-02-19T00:00:00"/>
    <x v="100"/>
    <x v="2"/>
    <s v="WOMAN"/>
    <n v="44760.299999999996"/>
    <n v="49.9"/>
  </r>
  <r>
    <n v="182866"/>
    <x v="0"/>
    <x v="0"/>
    <s v="Clothing"/>
    <x v="1"/>
    <n v="1552"/>
    <s v="Zara"/>
    <s v="313890656-800-2"/>
    <s v="KNIT SWEATER WITH BUTTONS"/>
    <n v="39.9"/>
    <s v="USD"/>
    <d v="2024-02-19T00:00:00"/>
    <x v="101"/>
    <x v="2"/>
    <s v="WOMAN"/>
    <n v="61924.799999999996"/>
    <n v="39.9"/>
  </r>
  <r>
    <n v="148230"/>
    <x v="2"/>
    <x v="1"/>
    <s v="Clothing"/>
    <x v="0"/>
    <n v="2494"/>
    <s v="Zara"/>
    <s v="321480271-802-2"/>
    <s v="JEWEL KNIT SWEATER"/>
    <n v="59.9"/>
    <s v="USD"/>
    <d v="2024-02-19T00:00:00"/>
    <x v="101"/>
    <x v="2"/>
    <s v="WOMAN"/>
    <n v="149390.6"/>
    <n v="59.900000000000006"/>
  </r>
  <r>
    <n v="126979"/>
    <x v="2"/>
    <x v="0"/>
    <s v="Clothing"/>
    <x v="0"/>
    <n v="2141"/>
    <s v="Zara"/>
    <s v="311297787-806-1"/>
    <s v="KNIT SWEATER WITH PIPING"/>
    <n v="49.9"/>
    <s v="USD"/>
    <d v="2024-02-19T00:00:00"/>
    <x v="102"/>
    <x v="2"/>
    <s v="WOMAN"/>
    <n v="106835.9"/>
    <n v="49.9"/>
  </r>
  <r>
    <n v="135521"/>
    <x v="1"/>
    <x v="0"/>
    <s v="Clothing"/>
    <x v="1"/>
    <n v="2835"/>
    <s v="Zara"/>
    <s v="322677494-446-1"/>
    <s v="FINE KNIT CROP SWEATER"/>
    <n v="39.9"/>
    <s v="USD"/>
    <d v="2024-02-19T00:00:00"/>
    <x v="102"/>
    <x v="2"/>
    <s v="WOMAN"/>
    <n v="113116.5"/>
    <n v="39.9"/>
  </r>
  <r>
    <n v="185809"/>
    <x v="1"/>
    <x v="0"/>
    <s v="Clothing"/>
    <x v="0"/>
    <n v="622"/>
    <s v="Zara"/>
    <s v="313890688-330-1"/>
    <s v="KNIT SWEATER WITH RIPS"/>
    <n v="49.9"/>
    <s v="USD"/>
    <d v="2024-02-19T00:00:00"/>
    <x v="103"/>
    <x v="2"/>
    <s v="WOMAN"/>
    <n v="31037.8"/>
    <n v="49.9"/>
  </r>
  <r>
    <n v="171520"/>
    <x v="1"/>
    <x v="1"/>
    <s v="Clothing"/>
    <x v="1"/>
    <n v="2901"/>
    <s v="Zara"/>
    <s v="322451460-800-1"/>
    <s v="GATHERED WAIST KNIT SWEATER"/>
    <n v="47.9"/>
    <s v="USD"/>
    <d v="2024-02-19T00:00:00"/>
    <x v="104"/>
    <x v="2"/>
    <s v="WOMAN"/>
    <n v="138957.9"/>
    <n v="47.9"/>
  </r>
  <r>
    <n v="122926"/>
    <x v="1"/>
    <x v="0"/>
    <s v="Clothing"/>
    <x v="0"/>
    <n v="867"/>
    <s v="Zara"/>
    <s v="319465261-800-2"/>
    <s v="KNIT V-NECK SWEATER"/>
    <n v="45.9"/>
    <s v="USD"/>
    <d v="2024-02-19T00:00:00"/>
    <x v="104"/>
    <x v="2"/>
    <s v="WOMAN"/>
    <n v="39795.299999999996"/>
    <n v="45.899999999999991"/>
  </r>
  <r>
    <n v="115873"/>
    <x v="1"/>
    <x v="1"/>
    <s v="Clothing"/>
    <x v="1"/>
    <n v="2606"/>
    <s v="Zara"/>
    <s v="311297400-803-1"/>
    <s v="CONTRAST TOPSTITCHING CROP KNIT SWEATER"/>
    <n v="59.9"/>
    <s v="USD"/>
    <d v="2024-02-19T00:00:00"/>
    <x v="105"/>
    <x v="2"/>
    <s v="WOMAN"/>
    <n v="156099.4"/>
    <n v="59.9"/>
  </r>
  <r>
    <n v="115581"/>
    <x v="0"/>
    <x v="0"/>
    <s v="Clothing"/>
    <x v="1"/>
    <n v="2728"/>
    <s v="Zara"/>
    <s v="336449779-104-1"/>
    <s v="STRIPED CROP KNIT SWEATER"/>
    <n v="47.9"/>
    <s v="USD"/>
    <d v="2024-02-19T00:00:00"/>
    <x v="106"/>
    <x v="2"/>
    <s v="WOMAN"/>
    <n v="130671.2"/>
    <n v="47.9"/>
  </r>
  <r>
    <n v="183634"/>
    <x v="2"/>
    <x v="1"/>
    <s v="Clothing"/>
    <x v="1"/>
    <n v="2778"/>
    <s v="Zara"/>
    <s v="324593343-043-2"/>
    <s v="BASIC KNIT SWEATER"/>
    <n v="27.9"/>
    <s v="USD"/>
    <d v="2024-02-19T00:00:00"/>
    <x v="107"/>
    <x v="2"/>
    <s v="WOMAN"/>
    <n v="77506.2"/>
    <n v="27.9"/>
  </r>
  <r>
    <n v="122484"/>
    <x v="0"/>
    <x v="1"/>
    <s v="Clothing"/>
    <x v="1"/>
    <n v="558"/>
    <s v="Zara"/>
    <s v="319473750-809-1"/>
    <s v="V-NECK KNIT SWEATER"/>
    <n v="47.9"/>
    <s v="USD"/>
    <d v="2024-02-19T00:00:00"/>
    <x v="107"/>
    <x v="2"/>
    <s v="WOMAN"/>
    <n v="26728.2"/>
    <n v="47.9"/>
  </r>
  <r>
    <n v="183574"/>
    <x v="0"/>
    <x v="1"/>
    <s v="Clothing"/>
    <x v="1"/>
    <n v="1752"/>
    <s v="Zara"/>
    <s v="331789902-808-1"/>
    <s v="FOIL KNIT CROP SWEATER"/>
    <n v="47.9"/>
    <s v="USD"/>
    <d v="2024-02-19T00:00:00"/>
    <x v="108"/>
    <x v="2"/>
    <s v="WOMAN"/>
    <n v="83920.8"/>
    <n v="47.9"/>
  </r>
  <r>
    <n v="185307"/>
    <x v="2"/>
    <x v="0"/>
    <s v="Clothing"/>
    <x v="1"/>
    <n v="2743"/>
    <s v="Zara"/>
    <s v="300250126-401-2"/>
    <s v="BASIC 100% WOOL SWEATER"/>
    <n v="7.99"/>
    <s v="USD"/>
    <d v="2024-02-19T00:00:00"/>
    <x v="108"/>
    <x v="2"/>
    <s v="WOMAN"/>
    <n v="21916.57"/>
    <n v="7.99"/>
  </r>
  <r>
    <n v="118719"/>
    <x v="1"/>
    <x v="0"/>
    <s v="Clothing"/>
    <x v="1"/>
    <n v="1669"/>
    <s v="Zara"/>
    <s v="320052978-401-2"/>
    <s v="COLORBLOCK KNIT CROP SWEATER"/>
    <n v="45.9"/>
    <s v="USD"/>
    <d v="2024-02-19T00:00:00"/>
    <x v="109"/>
    <x v="2"/>
    <s v="WOMAN"/>
    <n v="76607.099999999991"/>
    <n v="45.899999999999991"/>
  </r>
  <r>
    <n v="140142"/>
    <x v="2"/>
    <x v="1"/>
    <s v="Clothing"/>
    <x v="0"/>
    <n v="606"/>
    <s v="Zara"/>
    <s v="328207551-500-2"/>
    <s v="KNIT OPEN BACK PEARLY SWEATER"/>
    <n v="49.9"/>
    <s v="USD"/>
    <d v="2024-02-19T00:00:00"/>
    <x v="110"/>
    <x v="2"/>
    <s v="WOMAN"/>
    <n v="30239.399999999998"/>
    <n v="49.9"/>
  </r>
  <r>
    <n v="153997"/>
    <x v="1"/>
    <x v="0"/>
    <s v="Clothing"/>
    <x v="1"/>
    <n v="1608"/>
    <s v="Zara"/>
    <s v="318131967-800-2"/>
    <s v="KNIT PEARL SWEATER"/>
    <n v="45.9"/>
    <s v="USD"/>
    <d v="2024-02-19T00:00:00"/>
    <x v="111"/>
    <x v="2"/>
    <s v="WOMAN"/>
    <n v="73807.199999999997"/>
    <n v="45.9"/>
  </r>
  <r>
    <n v="123230"/>
    <x v="0"/>
    <x v="0"/>
    <s v="Clothing"/>
    <x v="1"/>
    <n v="880"/>
    <s v="Zara"/>
    <s v="324027512-064-2"/>
    <s v="STRIPED TEXTURED OVERSHIRT"/>
    <n v="69.900000000000006"/>
    <s v="USD"/>
    <d v="2024-02-19T00:00:00"/>
    <x v="112"/>
    <x v="0"/>
    <s v="MAN"/>
    <n v="61512.000000000007"/>
    <n v="69.900000000000006"/>
  </r>
  <r>
    <n v="154676"/>
    <x v="0"/>
    <x v="0"/>
    <s v="Clothing"/>
    <x v="0"/>
    <n v="943"/>
    <s v="Zara"/>
    <s v="311292623-712-97"/>
    <s v="FLEECE OVERSHIRT"/>
    <n v="69.900000000000006"/>
    <s v="USD"/>
    <d v="2024-02-19T00:00:00"/>
    <x v="113"/>
    <x v="0"/>
    <s v="MAN"/>
    <n v="65915.700000000012"/>
    <n v="69.900000000000006"/>
  </r>
  <r>
    <n v="175584"/>
    <x v="2"/>
    <x v="0"/>
    <s v="Clothing"/>
    <x v="0"/>
    <n v="2084"/>
    <s v="Zara"/>
    <s v="324908098-800-38"/>
    <s v="BAGGY FIT JEANS LIMITED EDITION"/>
    <n v="69.900000000000006"/>
    <s v="USD"/>
    <d v="2024-02-19T00:00:00"/>
    <x v="114"/>
    <x v="3"/>
    <s v="MAN"/>
    <n v="145671.6"/>
    <n v="69.900000000000006"/>
  </r>
  <r>
    <n v="147491"/>
    <x v="1"/>
    <x v="0"/>
    <s v="Clothing"/>
    <x v="0"/>
    <n v="1563"/>
    <s v="Zara"/>
    <s v="326540983-802-36"/>
    <s v="BAGGY BELTED JEANS"/>
    <n v="59.9"/>
    <s v="USD"/>
    <d v="2024-02-19T00:00:00"/>
    <x v="115"/>
    <x v="3"/>
    <s v="MAN"/>
    <n v="93623.7"/>
    <n v="59.9"/>
  </r>
  <r>
    <n v="198283"/>
    <x v="1"/>
    <x v="1"/>
    <s v="Clothing"/>
    <x v="1"/>
    <n v="1558"/>
    <s v="Zara"/>
    <s v="315836999-406-34"/>
    <s v="BAGGY FIT JEANS"/>
    <n v="69.900000000000006"/>
    <s v="USD"/>
    <d v="2024-02-19T00:00:00"/>
    <x v="116"/>
    <x v="3"/>
    <s v="MAN"/>
    <n v="108904.20000000001"/>
    <n v="69.900000000000006"/>
  </r>
  <r>
    <n v="186083"/>
    <x v="1"/>
    <x v="0"/>
    <s v="Clothing"/>
    <x v="1"/>
    <n v="624"/>
    <s v="Zara"/>
    <s v="312393140-406-2"/>
    <s v="PLEATED WIDE FIT JEANS"/>
    <n v="49.9"/>
    <s v="USD"/>
    <d v="2024-02-19T00:00:00"/>
    <x v="117"/>
    <x v="3"/>
    <s v="MAN"/>
    <n v="31137.599999999999"/>
    <n v="49.9"/>
  </r>
  <r>
    <n v="171776"/>
    <x v="0"/>
    <x v="1"/>
    <s v="Clothing"/>
    <x v="0"/>
    <n v="1685"/>
    <s v="Zara"/>
    <s v="275600408-400-2"/>
    <s v="DENIM SHIRT"/>
    <n v="12.99"/>
    <s v="USD"/>
    <d v="2024-02-19T00:00:00"/>
    <x v="118"/>
    <x v="3"/>
    <s v="MAN"/>
    <n v="21888.15"/>
    <n v="12.99"/>
  </r>
  <r>
    <n v="134429"/>
    <x v="0"/>
    <x v="0"/>
    <s v="Clothing"/>
    <x v="0"/>
    <n v="2914"/>
    <s v="Zara"/>
    <s v="311303003-407-38"/>
    <s v="RIPPED STRAIGHT FIT JEANS"/>
    <n v="69.900000000000006"/>
    <s v="USD"/>
    <d v="2024-02-19T00:00:00"/>
    <x v="118"/>
    <x v="3"/>
    <s v="MAN"/>
    <n v="203688.6"/>
    <n v="69.900000000000006"/>
  </r>
  <r>
    <n v="136272"/>
    <x v="1"/>
    <x v="0"/>
    <s v="Clothing"/>
    <x v="1"/>
    <n v="2887"/>
    <s v="Zara"/>
    <s v="267195405-500-3"/>
    <s v="PURL KNIT SWEATER"/>
    <n v="12.99"/>
    <s v="USD"/>
    <d v="2024-02-19T00:00:00"/>
    <x v="119"/>
    <x v="2"/>
    <s v="MAN"/>
    <n v="37502.129999999997"/>
    <n v="12.989999999999998"/>
  </r>
  <r>
    <n v="165786"/>
    <x v="1"/>
    <x v="0"/>
    <s v="Clothing"/>
    <x v="1"/>
    <n v="1278"/>
    <s v="Zara"/>
    <s v="315075917-803-2"/>
    <s v="CONTRAST INTERIOR SWEATER"/>
    <n v="59.9"/>
    <s v="USD"/>
    <d v="2024-02-19T00:00:00"/>
    <x v="120"/>
    <x v="2"/>
    <s v="MAN"/>
    <n v="76552.2"/>
    <n v="59.9"/>
  </r>
  <r>
    <n v="174708"/>
    <x v="2"/>
    <x v="0"/>
    <s v="Clothing"/>
    <x v="1"/>
    <n v="529"/>
    <s v="Zara"/>
    <s v="317889153-700-3"/>
    <s v="ABSTRACT JACQUARD SWEATER"/>
    <n v="59.9"/>
    <s v="USD"/>
    <d v="2024-02-19T00:00:00"/>
    <x v="121"/>
    <x v="2"/>
    <s v="MAN"/>
    <n v="31687.1"/>
    <n v="59.9"/>
  </r>
  <r>
    <n v="142257"/>
    <x v="0"/>
    <x v="1"/>
    <s v="Clothing"/>
    <x v="1"/>
    <n v="1180"/>
    <s v="Zara"/>
    <s v="315241755-800-2"/>
    <s v="BASIC SLIM FIT T-SHIRT"/>
    <n v="19.899999999999999"/>
    <s v="USD"/>
    <d v="2024-02-19T00:00:00"/>
    <x v="122"/>
    <x v="4"/>
    <s v="MAN"/>
    <n v="23482"/>
    <n v="19.899999999999999"/>
  </r>
  <r>
    <n v="126146"/>
    <x v="0"/>
    <x v="0"/>
    <s v="Clothing"/>
    <x v="0"/>
    <n v="2759"/>
    <s v="Zara"/>
    <s v="320326523-707-2"/>
    <s v="CROPPED WASHED T-SHIRT"/>
    <n v="39.9"/>
    <s v="USD"/>
    <d v="2024-02-19T00:00:00"/>
    <x v="122"/>
    <x v="4"/>
    <s v="MAN"/>
    <n v="110084.09999999999"/>
    <n v="39.9"/>
  </r>
  <r>
    <n v="129134"/>
    <x v="0"/>
    <x v="0"/>
    <s v="Clothing"/>
    <x v="1"/>
    <n v="1831"/>
    <s v="Zara"/>
    <s v="316715458-250-2"/>
    <s v="BASIC HEAVYWEIGHT T-SHIRT"/>
    <n v="29.9"/>
    <s v="USD"/>
    <d v="2024-02-19T00:00:00"/>
    <x v="123"/>
    <x v="4"/>
    <s v="MAN"/>
    <n v="54746.899999999994"/>
    <n v="29.9"/>
  </r>
  <r>
    <n v="129898"/>
    <x v="1"/>
    <x v="0"/>
    <s v="Clothing"/>
    <x v="0"/>
    <n v="1866"/>
    <s v="Zara"/>
    <s v="322677489-800-2"/>
    <s v="HEART PRINT T-SHIRT"/>
    <n v="39.9"/>
    <s v="USD"/>
    <d v="2024-02-19T00:00:00"/>
    <x v="123"/>
    <x v="4"/>
    <s v="MAN"/>
    <n v="74453.399999999994"/>
    <n v="39.9"/>
  </r>
  <r>
    <n v="189692"/>
    <x v="1"/>
    <x v="1"/>
    <s v="Clothing"/>
    <x v="0"/>
    <n v="1553"/>
    <s v="Zara"/>
    <s v="330077856-251-2"/>
    <s v="TEXT T-SHIRT"/>
    <n v="39.9"/>
    <s v="USD"/>
    <d v="2024-02-19T00:00:00"/>
    <x v="124"/>
    <x v="4"/>
    <s v="MAN"/>
    <n v="61964.7"/>
    <n v="39.9"/>
  </r>
  <r>
    <n v="154846"/>
    <x v="1"/>
    <x v="1"/>
    <s v="Clothing"/>
    <x v="0"/>
    <n v="917"/>
    <s v="Zara"/>
    <s v="328232452-898-2"/>
    <s v="PRINTED CROPPED FIT SHIRT LIMITED EDITION"/>
    <n v="39.9"/>
    <s v="USD"/>
    <d v="2024-02-19T00:00:00"/>
    <x v="124"/>
    <x v="4"/>
    <s v="MAN"/>
    <n v="36588.299999999996"/>
    <n v="39.9"/>
  </r>
  <r>
    <n v="122307"/>
    <x v="1"/>
    <x v="0"/>
    <s v="Clothing"/>
    <x v="0"/>
    <n v="702"/>
    <s v="Zara"/>
    <s v="317230892-251-3"/>
    <s v="RIBBED KNIT T-SHIRT"/>
    <n v="49.9"/>
    <s v="USD"/>
    <d v="2024-02-19T00:00:00"/>
    <x v="125"/>
    <x v="4"/>
    <s v="MAN"/>
    <n v="35029.799999999996"/>
    <n v="49.899999999999991"/>
  </r>
  <r>
    <n v="182099"/>
    <x v="0"/>
    <x v="1"/>
    <s v="Clothing"/>
    <x v="0"/>
    <n v="1978"/>
    <s v="Zara"/>
    <s v="330478123-712-2"/>
    <s v="OVERSIZE FIT T-SHIRT"/>
    <n v="39.9"/>
    <s v="USD"/>
    <d v="2024-02-19T00:00:00"/>
    <x v="126"/>
    <x v="4"/>
    <s v="MAN"/>
    <n v="78922.2"/>
    <n v="39.9"/>
  </r>
  <r>
    <n v="159816"/>
    <x v="2"/>
    <x v="0"/>
    <s v="Clothing"/>
    <x v="1"/>
    <n v="1961"/>
    <s v="Zara"/>
    <s v="318255748-250-2"/>
    <s v="BASIC MEDIUM WEIGHT T-SHIRT"/>
    <n v="27.9"/>
    <s v="USD"/>
    <d v="2024-02-19T00:00:00"/>
    <x v="126"/>
    <x v="4"/>
    <s v="MAN"/>
    <n v="54711.899999999994"/>
    <n v="27.9"/>
  </r>
  <r>
    <n v="165326"/>
    <x v="0"/>
    <x v="0"/>
    <s v="Clothing"/>
    <x v="0"/>
    <n v="1188"/>
    <s v="Zara"/>
    <s v="319334069-712-2"/>
    <s v="STRUCTURED TEXT T-SHIRT"/>
    <n v="45.9"/>
    <s v="USD"/>
    <d v="2024-02-19T00:00:00"/>
    <x v="127"/>
    <x v="4"/>
    <s v="MAN"/>
    <n v="54529.2"/>
    <n v="45.9"/>
  </r>
  <r>
    <n v="185154"/>
    <x v="0"/>
    <x v="1"/>
    <s v="Clothing"/>
    <x v="0"/>
    <n v="996"/>
    <s v="Zara"/>
    <s v="311307261-712-2"/>
    <s v="ABSTRACT PRINT T-SHIRT"/>
    <n v="39.9"/>
    <s v="USD"/>
    <d v="2024-02-19T00:00:00"/>
    <x v="127"/>
    <x v="4"/>
    <s v="MAN"/>
    <n v="39740.400000000001"/>
    <n v="39.9"/>
  </r>
  <r>
    <n v="141330"/>
    <x v="0"/>
    <x v="0"/>
    <s v="Clothing"/>
    <x v="1"/>
    <n v="1915"/>
    <s v="Zara"/>
    <s v="323216369-922-2"/>
    <s v="RAISED TEXT T-SHIRT LIMITED EDITION"/>
    <n v="39.9"/>
    <s v="USD"/>
    <d v="2024-02-19T00:00:00"/>
    <x v="128"/>
    <x v="4"/>
    <s v="MAN"/>
    <n v="76408.5"/>
    <n v="39.9"/>
  </r>
  <r>
    <n v="135857"/>
    <x v="0"/>
    <x v="0"/>
    <s v="Clothing"/>
    <x v="1"/>
    <n v="2045"/>
    <s v="Zara"/>
    <s v="311297550-251-2"/>
    <s v="VISCOSE BLEND KNIT T-SHIRT"/>
    <n v="45.9"/>
    <s v="USD"/>
    <d v="2024-02-19T00:00:00"/>
    <x v="129"/>
    <x v="4"/>
    <s v="MAN"/>
    <n v="93865.5"/>
    <n v="45.9"/>
  </r>
  <r>
    <n v="147690"/>
    <x v="0"/>
    <x v="1"/>
    <s v="Clothing"/>
    <x v="0"/>
    <n v="881"/>
    <s v="Zara"/>
    <s v="322909502-819-2"/>
    <s v="STRIPED JACQUARD T-SHIRT"/>
    <n v="39.9"/>
    <s v="USD"/>
    <d v="2024-02-19T00:00:00"/>
    <x v="129"/>
    <x v="4"/>
    <s v="MAN"/>
    <n v="35151.9"/>
    <n v="39.9"/>
  </r>
  <r>
    <n v="130321"/>
    <x v="1"/>
    <x v="1"/>
    <s v="Clothing"/>
    <x v="0"/>
    <n v="2093"/>
    <s v="Zara"/>
    <s v="320071210-802-2"/>
    <s v="ABSTRACT PRINT KNIT T-SHIRT"/>
    <n v="39.9"/>
    <s v="USD"/>
    <d v="2024-02-19T00:00:00"/>
    <x v="130"/>
    <x v="4"/>
    <s v="MAN"/>
    <n v="83510.7"/>
    <n v="3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8E33F-767A-49AF-B2C2-FE83CAE3056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12" firstHeaderRow="1" firstDataRow="2" firstDataCol="1"/>
  <pivotFields count="20">
    <pivotField showAll="0" defaultSubtotal="0"/>
    <pivotField showAll="0" defaultSubtotal="0"/>
    <pivotField showAll="0" defaultSubtotal="0"/>
    <pivotField showAll="0" defaultSubtotal="0"/>
    <pivotField axis="axisCol" showAll="0" defaultSubtotal="0">
      <items count="2">
        <item n="Non-seasonal" x="0"/>
        <item n="Seasonal" x="1"/>
      </items>
    </pivotField>
    <pivotField dataField="1" numFmtId="1" showAll="0" defaultSubtotal="0"/>
    <pivotField showAll="0" defaultSubtotal="0"/>
    <pivotField showAll="0" defaultSubtotal="0"/>
    <pivotField showAll="0" defaultSubtotal="0"/>
    <pivotField numFmtId="2" showAll="0" defaultSubtotal="0"/>
    <pivotField showAll="0" defaultSubtotal="0"/>
    <pivotField numFmtId="14" showAll="0" defaultSubtotal="0"/>
    <pivotField numFmtId="164" showAll="0" defaultSubtota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40"/>
        <item x="39"/>
        <item x="41"/>
        <item x="42"/>
        <item x="43"/>
        <item x="44"/>
        <item x="45"/>
        <item x="46"/>
        <item x="47"/>
        <item x="48"/>
        <item x="49"/>
        <item x="50"/>
        <item x="51"/>
        <item x="52"/>
        <item x="53"/>
        <item x="54"/>
        <item x="55"/>
        <item x="56"/>
        <item x="57"/>
        <item x="112"/>
        <item x="113"/>
        <item x="58"/>
        <item x="59"/>
        <item x="60"/>
        <item x="61"/>
        <item x="62"/>
        <item x="63"/>
        <item x="64"/>
        <item x="65"/>
        <item x="66"/>
        <item x="67"/>
        <item x="68"/>
        <item x="114"/>
        <item x="115"/>
        <item x="116"/>
        <item x="117"/>
        <item x="118"/>
        <item x="119"/>
        <item x="120"/>
        <item x="121"/>
        <item x="122"/>
        <item x="123"/>
        <item x="124"/>
        <item x="125"/>
        <item x="126"/>
        <item x="127"/>
        <item x="128"/>
        <item x="129"/>
        <item x="130"/>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s>
    </pivotField>
    <pivotField showAll="0" defaultSubtotal="0">
      <items count="5">
        <item x="0"/>
        <item x="3"/>
        <item x="1"/>
        <item x="2"/>
        <item x="4"/>
      </items>
    </pivotField>
    <pivotField showAll="0" defaultSubtotal="0"/>
    <pivotField subtotalTop="0" showAll="0" defaultSubtotal="0"/>
    <pivotField subtotalTop="0" showAll="0" defaultSubtotal="0"/>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Row"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Row" showAll="0" defaultSubtotal="0">
      <items count="26">
        <item sd="0" x="0"/>
        <item sd="0" x="1"/>
        <item sd="0" x="2"/>
        <item sd="0" x="3"/>
        <item sd="0" x="4"/>
        <item sd="0" x="5"/>
        <item sd="0" x="6"/>
        <item sd="0" x="7"/>
        <item sd="0" x="8"/>
        <item x="9"/>
        <item x="10"/>
        <item sd="0" x="11"/>
        <item sd="0" x="12"/>
        <item sd="0" x="13"/>
        <item sd="0" x="14"/>
        <item sd="0" x="15"/>
        <item sd="0" x="16"/>
        <item sd="0" x="17"/>
        <item sd="0" x="18"/>
        <item sd="0" x="19"/>
        <item sd="0" x="20"/>
        <item sd="0" x="21"/>
        <item sd="0" x="22"/>
        <item sd="0" x="23"/>
        <item sd="0" x="24"/>
        <item sd="0" x="25"/>
      </items>
    </pivotField>
  </pivotFields>
  <rowFields count="2">
    <field x="19"/>
    <field x="18"/>
  </rowFields>
  <rowItems count="8">
    <i>
      <x v="9"/>
    </i>
    <i r="1">
      <x v="51"/>
    </i>
    <i r="1">
      <x v="52"/>
    </i>
    <i r="1">
      <x v="55"/>
    </i>
    <i r="1">
      <x v="57"/>
    </i>
    <i>
      <x v="10"/>
    </i>
    <i r="1">
      <x v="1"/>
    </i>
    <i r="1">
      <x v="11"/>
    </i>
  </rowItems>
  <colFields count="1">
    <field x="4"/>
  </colFields>
  <colItems count="2">
    <i>
      <x/>
    </i>
    <i>
      <x v="1"/>
    </i>
  </colItems>
  <dataFields count="1">
    <dataField name="Sum of Sales Volume" fld="5" baseField="0" baseItem="0" numFmtId="1"/>
  </dataFields>
  <chartFormats count="3">
    <chartFormat chart="6" format="1327" series="1">
      <pivotArea type="data" outline="0" fieldPosition="0">
        <references count="1">
          <reference field="4294967294" count="1" selected="0">
            <x v="0"/>
          </reference>
        </references>
      </pivotArea>
    </chartFormat>
    <chartFormat chart="6" format="1328" series="1">
      <pivotArea type="data" outline="0" fieldPosition="0">
        <references count="2">
          <reference field="4294967294" count="1" selected="0">
            <x v="0"/>
          </reference>
          <reference field="4" count="1" selected="0">
            <x v="1"/>
          </reference>
        </references>
      </pivotArea>
    </chartFormat>
    <chartFormat chart="6" format="1329"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E22874-89EE-4E26-A848-166BDC4F2F2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
  <location ref="I11:K14" firstHeaderRow="0" firstDataRow="1" firstDataCol="1"/>
  <pivotFields count="20">
    <pivotField showAll="0" defaultSubtotal="0"/>
    <pivotField axis="axisRow" showAll="0" sortType="descending" defaultSubtotal="0">
      <items count="3">
        <item x="0"/>
        <item x="1"/>
        <item x="2"/>
      </items>
      <autoSortScope>
        <pivotArea dataOnly="0" outline="0" fieldPosition="0">
          <references count="1">
            <reference field="4294967294" count="1" selected="0">
              <x v="1"/>
            </reference>
          </references>
        </pivotArea>
      </autoSortScope>
    </pivotField>
    <pivotField showAll="0" defaultSubtotal="0"/>
    <pivotField showAll="0" defaultSubtotal="0"/>
    <pivotField showAll="0" defaultSubtotal="0"/>
    <pivotField dataField="1" numFmtId="1" showAll="0" defaultSubtotal="0"/>
    <pivotField showAll="0" defaultSubtotal="0"/>
    <pivotField showAll="0" defaultSubtotal="0"/>
    <pivotField showAll="0" defaultSubtotal="0"/>
    <pivotField numFmtId="2" showAll="0" defaultSubtotal="0"/>
    <pivotField showAll="0" defaultSubtotal="0"/>
    <pivotField numFmtId="14" showAll="0" defaultSubtotal="0"/>
    <pivotField numFmtId="164" showAll="0" defaultSubtota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40"/>
        <item x="39"/>
        <item x="41"/>
        <item x="42"/>
        <item x="43"/>
        <item x="44"/>
        <item x="45"/>
        <item x="46"/>
        <item x="47"/>
        <item x="48"/>
        <item x="49"/>
        <item x="50"/>
        <item x="51"/>
        <item x="52"/>
        <item x="53"/>
        <item x="54"/>
        <item x="55"/>
        <item x="56"/>
        <item x="57"/>
        <item x="112"/>
        <item x="113"/>
        <item x="58"/>
        <item x="59"/>
        <item x="60"/>
        <item x="61"/>
        <item x="62"/>
        <item x="63"/>
        <item x="64"/>
        <item x="65"/>
        <item x="66"/>
        <item x="67"/>
        <item x="68"/>
        <item x="114"/>
        <item x="115"/>
        <item x="116"/>
        <item x="117"/>
        <item x="118"/>
        <item x="119"/>
        <item x="120"/>
        <item x="121"/>
        <item x="122"/>
        <item x="123"/>
        <item x="124"/>
        <item x="125"/>
        <item x="126"/>
        <item x="127"/>
        <item x="128"/>
        <item x="129"/>
        <item x="130"/>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s>
    </pivotField>
    <pivotField showAll="0" defaultSubtotal="0">
      <items count="5">
        <item x="0"/>
        <item x="3"/>
        <item x="1"/>
        <item x="2"/>
        <item x="4"/>
      </items>
    </pivotField>
    <pivotField showAll="0" defaultSubtotal="0"/>
    <pivotField showAll="0" defaultSubtotal="0"/>
    <pivotField showAll="0" defaultSubtota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
  </rowFields>
  <rowItems count="3">
    <i>
      <x/>
    </i>
    <i>
      <x v="1"/>
    </i>
    <i>
      <x v="2"/>
    </i>
  </rowItems>
  <colFields count="1">
    <field x="-2"/>
  </colFields>
  <colItems count="2">
    <i>
      <x/>
    </i>
    <i i="1">
      <x v="1"/>
    </i>
  </colItems>
  <dataFields count="2">
    <dataField name="Sales Volume by Store location" fld="5" subtotal="average" baseField="0" baseItem="0" numFmtId="1"/>
    <dataField name="%  of GT" fld="5" showDataAs="percentOfTotal" baseField="0" baseItem="0" numFmtId="10"/>
  </dataFields>
  <formats count="10">
    <format dxfId="70">
      <pivotArea dataOnly="0" labelOnly="1" outline="0" fieldPosition="0">
        <references count="1">
          <reference field="4294967294" count="1">
            <x v="0"/>
          </reference>
        </references>
      </pivotArea>
    </format>
    <format dxfId="69">
      <pivotArea field="1" type="button" dataOnly="0" labelOnly="1" outline="0" axis="axisRow" fieldPosition="0"/>
    </format>
    <format dxfId="68">
      <pivotArea dataOnly="0" labelOnly="1" outline="0" fieldPosition="0">
        <references count="1">
          <reference field="4294967294" count="2">
            <x v="0"/>
            <x v="1"/>
          </reference>
        </references>
      </pivotArea>
    </format>
    <format dxfId="67">
      <pivotArea field="1" type="button" dataOnly="0" labelOnly="1" outline="0" axis="axisRow" fieldPosition="0"/>
    </format>
    <format dxfId="66">
      <pivotArea dataOnly="0" labelOnly="1" outline="0" fieldPosition="0">
        <references count="1">
          <reference field="4294967294" count="2">
            <x v="0"/>
            <x v="1"/>
          </reference>
        </references>
      </pivotArea>
    </format>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outline="0" fieldPosition="0">
        <references count="1">
          <reference field="4294967294" count="2">
            <x v="0"/>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1" count="1" selected="0">
            <x v="0"/>
          </reference>
        </references>
      </pivotArea>
    </chartFormat>
    <chartFormat chart="2" format="16">
      <pivotArea type="data" outline="0" fieldPosition="0">
        <references count="2">
          <reference field="4294967294" count="1" selected="0">
            <x v="1"/>
          </reference>
          <reference field="1" count="1" selected="0">
            <x v="1"/>
          </reference>
        </references>
      </pivotArea>
    </chartFormat>
    <chartFormat chart="2" format="17">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DB74AD-A837-4FB5-BBA7-C8164299E9B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8" firstHeaderRow="0" firstDataRow="1" firstDataCol="1"/>
  <pivotFields count="20">
    <pivotField showAll="0"/>
    <pivotField showAll="0"/>
    <pivotField showAll="0"/>
    <pivotField showAll="0"/>
    <pivotField showAll="0"/>
    <pivotField numFmtId="1" showAll="0"/>
    <pivotField showAll="0"/>
    <pivotField showAll="0"/>
    <pivotField showAll="0"/>
    <pivotField numFmtId="2" showAll="0"/>
    <pivotField showAll="0"/>
    <pivotField numFmtId="14" showAll="0"/>
    <pivotField numFmtId="164"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40"/>
        <item x="39"/>
        <item x="41"/>
        <item x="42"/>
        <item x="43"/>
        <item x="44"/>
        <item x="45"/>
        <item x="46"/>
        <item x="47"/>
        <item x="48"/>
        <item x="49"/>
        <item x="50"/>
        <item x="51"/>
        <item x="52"/>
        <item x="53"/>
        <item x="54"/>
        <item x="55"/>
        <item x="56"/>
        <item x="57"/>
        <item x="112"/>
        <item x="113"/>
        <item x="58"/>
        <item x="59"/>
        <item x="60"/>
        <item x="61"/>
        <item x="62"/>
        <item x="63"/>
        <item x="64"/>
        <item x="65"/>
        <item x="66"/>
        <item x="67"/>
        <item x="68"/>
        <item x="114"/>
        <item x="115"/>
        <item x="116"/>
        <item x="117"/>
        <item x="118"/>
        <item x="119"/>
        <item x="120"/>
        <item x="121"/>
        <item x="122"/>
        <item x="123"/>
        <item x="124"/>
        <item x="125"/>
        <item x="126"/>
        <item x="127"/>
        <item x="128"/>
        <item x="129"/>
        <item x="130"/>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axis="axisRow" showAll="0"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3"/>
  </rowFields>
  <rowItems count="5">
    <i>
      <x/>
    </i>
    <i>
      <x v="2"/>
    </i>
    <i>
      <x v="3"/>
    </i>
    <i>
      <x v="4"/>
    </i>
    <i>
      <x v="1"/>
    </i>
  </rowItems>
  <colFields count="1">
    <field x="-2"/>
  </colFields>
  <colItems count="2">
    <i>
      <x/>
    </i>
    <i i="1">
      <x v="1"/>
    </i>
  </colItems>
  <dataFields count="2">
    <dataField name="Sum of Revenue" fld="15" baseField="0" baseItem="0"/>
    <dataField name="Percentage of grand Total" fld="15"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52C94D-DA3F-4931-AB3F-6C36CE474A0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9" firstHeaderRow="1" firstDataRow="2" firstDataCol="1"/>
  <pivotFields count="20">
    <pivotField showAll="0"/>
    <pivotField showAll="0"/>
    <pivotField axis="axisCol" showAll="0">
      <items count="3">
        <item n="Non-promotional" x="0"/>
        <item n="Promotional" x="1"/>
        <item t="default"/>
      </items>
    </pivotField>
    <pivotField showAll="0"/>
    <pivotField showAll="0"/>
    <pivotField dataField="1" numFmtId="1" showAll="0"/>
    <pivotField showAll="0"/>
    <pivotField showAll="0"/>
    <pivotField showAll="0"/>
    <pivotField numFmtId="2" showAll="0"/>
    <pivotField showAll="0"/>
    <pivotField numFmtId="14" showAll="0"/>
    <pivotField numFmtId="164"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40"/>
        <item x="39"/>
        <item x="41"/>
        <item x="42"/>
        <item x="43"/>
        <item x="44"/>
        <item x="45"/>
        <item x="46"/>
        <item x="47"/>
        <item x="48"/>
        <item x="49"/>
        <item x="50"/>
        <item x="51"/>
        <item x="52"/>
        <item x="53"/>
        <item x="54"/>
        <item x="55"/>
        <item x="56"/>
        <item x="57"/>
        <item x="112"/>
        <item x="113"/>
        <item x="58"/>
        <item x="59"/>
        <item x="60"/>
        <item x="61"/>
        <item x="62"/>
        <item x="63"/>
        <item x="64"/>
        <item x="65"/>
        <item x="66"/>
        <item x="67"/>
        <item x="68"/>
        <item x="114"/>
        <item x="115"/>
        <item x="116"/>
        <item x="117"/>
        <item x="118"/>
        <item x="119"/>
        <item x="120"/>
        <item x="121"/>
        <item x="122"/>
        <item x="123"/>
        <item x="124"/>
        <item x="125"/>
        <item x="126"/>
        <item x="127"/>
        <item x="128"/>
        <item x="129"/>
        <item x="130"/>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axis="axisRow" showAll="0">
      <items count="6">
        <item x="0"/>
        <item x="3"/>
        <item x="1"/>
        <item x="2"/>
        <item x="4"/>
        <item t="default"/>
      </items>
    </pivotField>
    <pivotField showAll="0"/>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3"/>
  </rowFields>
  <rowItems count="5">
    <i>
      <x/>
    </i>
    <i>
      <x v="1"/>
    </i>
    <i>
      <x v="2"/>
    </i>
    <i>
      <x v="3"/>
    </i>
    <i>
      <x v="4"/>
    </i>
  </rowItems>
  <colFields count="1">
    <field x="2"/>
  </colFields>
  <colItems count="2">
    <i>
      <x/>
    </i>
    <i>
      <x v="1"/>
    </i>
  </colItems>
  <dataFields count="1">
    <dataField name="Sum of Sales Volume" fld="5" baseField="0" baseItem="0" numFmtId="1"/>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861B12-5FFD-4E3D-8480-3713C7DDD03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
  <location ref="A3:C6" firstHeaderRow="0" firstDataRow="1" firstDataCol="1"/>
  <pivotFields count="20">
    <pivotField showAll="0" defaultSubtotal="0"/>
    <pivotField axis="axisRow" showAll="0" sortType="descending" defaultSubtotal="0">
      <items count="3">
        <item x="0"/>
        <item x="1"/>
        <item x="2"/>
      </items>
      <autoSortScope>
        <pivotArea dataOnly="0" outline="0" fieldPosition="0">
          <references count="1">
            <reference field="4294967294" count="1" selected="0">
              <x v="1"/>
            </reference>
          </references>
        </pivotArea>
      </autoSortScope>
    </pivotField>
    <pivotField showAll="0" defaultSubtotal="0"/>
    <pivotField showAll="0" defaultSubtotal="0"/>
    <pivotField showAll="0" defaultSubtotal="0"/>
    <pivotField dataField="1" numFmtId="1" showAll="0" defaultSubtotal="0"/>
    <pivotField showAll="0" defaultSubtotal="0"/>
    <pivotField showAll="0" defaultSubtotal="0"/>
    <pivotField showAll="0" defaultSubtotal="0"/>
    <pivotField numFmtId="2" showAll="0" defaultSubtotal="0"/>
    <pivotField showAll="0" defaultSubtotal="0"/>
    <pivotField numFmtId="14" showAll="0" defaultSubtotal="0"/>
    <pivotField numFmtId="164" showAll="0" defaultSubtota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40"/>
        <item x="39"/>
        <item x="41"/>
        <item x="42"/>
        <item x="43"/>
        <item x="44"/>
        <item x="45"/>
        <item x="46"/>
        <item x="47"/>
        <item x="48"/>
        <item x="49"/>
        <item x="50"/>
        <item x="51"/>
        <item x="52"/>
        <item x="53"/>
        <item x="54"/>
        <item x="55"/>
        <item x="56"/>
        <item x="57"/>
        <item x="112"/>
        <item x="113"/>
        <item x="58"/>
        <item x="59"/>
        <item x="60"/>
        <item x="61"/>
        <item x="62"/>
        <item x="63"/>
        <item x="64"/>
        <item x="65"/>
        <item x="66"/>
        <item x="67"/>
        <item x="68"/>
        <item x="114"/>
        <item x="115"/>
        <item x="116"/>
        <item x="117"/>
        <item x="118"/>
        <item x="119"/>
        <item x="120"/>
        <item x="121"/>
        <item x="122"/>
        <item x="123"/>
        <item x="124"/>
        <item x="125"/>
        <item x="126"/>
        <item x="127"/>
        <item x="128"/>
        <item x="129"/>
        <item x="130"/>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s>
    </pivotField>
    <pivotField showAll="0" defaultSubtotal="0">
      <items count="5">
        <item x="0"/>
        <item x="3"/>
        <item x="1"/>
        <item x="2"/>
        <item x="4"/>
      </items>
    </pivotField>
    <pivotField showAll="0" defaultSubtotal="0"/>
    <pivotField showAll="0" defaultSubtotal="0"/>
    <pivotField showAll="0" defaultSubtota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
  </rowFields>
  <rowItems count="3">
    <i>
      <x/>
    </i>
    <i>
      <x v="1"/>
    </i>
    <i>
      <x v="2"/>
    </i>
  </rowItems>
  <colFields count="1">
    <field x="-2"/>
  </colFields>
  <colItems count="2">
    <i>
      <x/>
    </i>
    <i i="1">
      <x v="1"/>
    </i>
  </colItems>
  <dataFields count="2">
    <dataField name="Average of Sales Volume" fld="5" subtotal="average" baseField="0" baseItem="0" numFmtId="1"/>
    <dataField name="%  of GT" fld="5"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1" count="1" selected="0">
            <x v="0"/>
          </reference>
        </references>
      </pivotArea>
    </chartFormat>
    <chartFormat chart="2" format="16">
      <pivotArea type="data" outline="0" fieldPosition="0">
        <references count="2">
          <reference field="4294967294" count="1" selected="0">
            <x v="1"/>
          </reference>
          <reference field="1" count="1" selected="0">
            <x v="1"/>
          </reference>
        </references>
      </pivotArea>
    </chartFormat>
    <chartFormat chart="2" format="17">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4CFDA9-4963-4EC8-8271-BEF2DFD4ADE8}" autoFormatId="16" applyNumberFormats="0" applyBorderFormats="0" applyFontFormats="0" applyPatternFormats="0" applyAlignmentFormats="0" applyWidthHeightFormats="0">
  <queryTableRefresh nextId="18" unboundColumnsRight="2">
    <queryTableFields count="17">
      <queryTableField id="1" name="Product ID" tableColumnId="1"/>
      <queryTableField id="2" name="Product Position" tableColumnId="2"/>
      <queryTableField id="3" name="Promotion" tableColumnId="3"/>
      <queryTableField id="4" name="Product Category" tableColumnId="4"/>
      <queryTableField id="5" name="Seasonal" tableColumnId="5"/>
      <queryTableField id="6" name="Sales Volume" tableColumnId="6"/>
      <queryTableField id="7" name="brand" tableColumnId="7"/>
      <queryTableField id="8" name="sku" tableColumnId="8"/>
      <queryTableField id="9" name="name" tableColumnId="9"/>
      <queryTableField id="10" name="price" tableColumnId="10"/>
      <queryTableField id="11" name="currency" tableColumnId="11"/>
      <queryTableField id="12" name="scraped_date" tableColumnId="12"/>
      <queryTableField id="13" name="scraped_time" tableColumnId="13"/>
      <queryTableField id="14" name="terms" tableColumnId="14"/>
      <queryTableField id="15" name="section"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s" xr10:uid="{9FD5E0EC-CE6F-4690-ABE8-D52BFBA8D93E}" sourceName="terms">
  <pivotTables>
    <pivotTable tabId="10" name="PivotTable5"/>
    <pivotTable tabId="5" name="PivotTable10"/>
    <pivotTable tabId="4" name="PivotTable2"/>
    <pivotTable tabId="11" name="PivotTable6"/>
    <pivotTable tabId="12" name="PivotTable7"/>
  </pivotTables>
  <data>
    <tabular pivotCacheId="1980872893">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ms" xr10:uid="{0AF5ECA0-6AAB-4FD9-8E27-5FF409466EA3}" cache="Slicer_terms" caption="terms"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B48DD6-B40D-4EF1-978A-A19CF31C53AA}" name="Table2" displayName="Table2" ref="O2:Q12" totalsRowShown="0" headerRowDxfId="60" dataDxfId="59">
  <autoFilter ref="O2:Q12" xr:uid="{C2B48DD6-B40D-4EF1-978A-A19CF31C53AA}"/>
  <tableColumns count="3">
    <tableColumn id="1" xr3:uid="{BE333262-90B5-4E74-ABCE-CA4367B62F25}" name="Prod. Name" dataDxfId="58"/>
    <tableColumn id="2" xr3:uid="{647D6725-D147-4163-A4A9-9CA2EAA43B81}" name="Rank" dataDxfId="57"/>
    <tableColumn id="3" xr3:uid="{9E019B2B-3830-457B-9915-B2B82E7DEF3F}" name="Sales Volume" dataDxfId="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8A6624-89D7-4331-83A1-E3028E12192D}" name="Zara_data" displayName="Zara_data" ref="A1:Q186" tableType="queryTable" totalsRowShown="0">
  <autoFilter ref="A1:Q186" xr:uid="{008A6624-89D7-4331-83A1-E3028E12192D}"/>
  <tableColumns count="17">
    <tableColumn id="1" xr3:uid="{50DBB5CC-1ED7-400D-8115-DED7C7F39121}" uniqueName="1" name="Product ID" queryTableFieldId="1"/>
    <tableColumn id="2" xr3:uid="{D74ECA1C-12EE-403D-B218-29FE65F34AEA}" uniqueName="2" name="Product Position" queryTableFieldId="2" dataDxfId="55"/>
    <tableColumn id="3" xr3:uid="{506F9E38-8240-48C0-8435-5AA956D450A4}" uniqueName="3" name="Promotion" queryTableFieldId="3" dataDxfId="54"/>
    <tableColumn id="4" xr3:uid="{1E1C37ED-8869-45DD-9D13-D6C4E1126D48}" uniqueName="4" name="Product Category" queryTableFieldId="4" dataDxfId="53"/>
    <tableColumn id="5" xr3:uid="{6A23F63E-7B45-480C-958E-216A311D3E58}" uniqueName="5" name="Seasonal" queryTableFieldId="5" dataDxfId="52"/>
    <tableColumn id="6" xr3:uid="{27975A0E-480D-4BBF-969E-B53DF770C463}" uniqueName="6" name="Sales Volume" queryTableFieldId="6" dataDxfId="51"/>
    <tableColumn id="7" xr3:uid="{1FA31E5B-BC60-4A9D-991C-EA86245370E3}" uniqueName="7" name="brand" queryTableFieldId="7" dataDxfId="50"/>
    <tableColumn id="8" xr3:uid="{8047C178-6AF8-49DF-A4EC-2D71E17940B6}" uniqueName="8" name="sku" queryTableFieldId="8" dataDxfId="49"/>
    <tableColumn id="9" xr3:uid="{13B01C09-136F-41ED-9ED5-B934BFA1FD23}" uniqueName="9" name="name" queryTableFieldId="9" dataDxfId="48"/>
    <tableColumn id="10" xr3:uid="{E7A6772D-D074-4262-8C25-9DCBE63627C1}" uniqueName="10" name="price" queryTableFieldId="10" dataDxfId="47"/>
    <tableColumn id="11" xr3:uid="{5A3B12B4-DB6C-402C-B448-7AC306BA76B7}" uniqueName="11" name="currency" queryTableFieldId="11" dataDxfId="46"/>
    <tableColumn id="12" xr3:uid="{5BC60E95-036F-4ED8-84BD-10D12F0A6D25}" uniqueName="12" name="scraped_date" queryTableFieldId="12" dataDxfId="45"/>
    <tableColumn id="13" xr3:uid="{114DB795-322A-4657-887B-DF840172627A}" uniqueName="13" name="scraped_time" queryTableFieldId="13" dataDxfId="44"/>
    <tableColumn id="14" xr3:uid="{EFA05860-EDF4-4C8B-873D-7AE3944DE5A9}" uniqueName="14" name="terms" queryTableFieldId="14" dataDxfId="43"/>
    <tableColumn id="15" xr3:uid="{38336BC3-DB35-4D91-BB7D-004B85F61E17}" uniqueName="15" name="section" queryTableFieldId="15" dataDxfId="42"/>
    <tableColumn id="16" xr3:uid="{A8095A53-F84F-4D7B-8B52-E630DFFB063A}" uniqueName="16" name="Revenue" queryTableFieldId="16" dataDxfId="41">
      <calculatedColumnFormula>Zara_data[[#This Row],[Sales Volume]]*Zara_data[[#This Row],[price]]</calculatedColumnFormula>
    </tableColumn>
    <tableColumn id="17" xr3:uid="{18B6C68D-F6B3-412C-A6AE-7E899B559269}" uniqueName="17" name="AVG_price" queryTableFieldId="17" dataDxfId="40">
      <calculatedColumnFormula>Zara_data[[#This Row],[Revenue]]/Zara_data[[#This Row],[Sales Volume]]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26E4-2E41-4CB5-BEDD-563A40B67D3B}">
  <dimension ref="A3:C12"/>
  <sheetViews>
    <sheetView workbookViewId="0">
      <selection activeCell="B6" sqref="B6"/>
    </sheetView>
  </sheetViews>
  <sheetFormatPr defaultRowHeight="14.5" x14ac:dyDescent="0.35"/>
  <cols>
    <col min="1" max="1" width="19.1796875" bestFit="1" customWidth="1"/>
    <col min="2" max="2" width="16.1796875" bestFit="1" customWidth="1"/>
    <col min="3" max="3" width="8.7265625" bestFit="1" customWidth="1"/>
    <col min="4" max="35" width="3.81640625" bestFit="1" customWidth="1"/>
    <col min="36" max="186" width="4.81640625" bestFit="1" customWidth="1"/>
  </cols>
  <sheetData>
    <row r="3" spans="1:3" x14ac:dyDescent="0.35">
      <c r="A3" s="5" t="s">
        <v>400</v>
      </c>
      <c r="B3" s="5" t="s">
        <v>403</v>
      </c>
    </row>
    <row r="4" spans="1:3" x14ac:dyDescent="0.35">
      <c r="A4" s="5" t="s">
        <v>399</v>
      </c>
      <c r="B4" t="s">
        <v>413</v>
      </c>
      <c r="C4" t="s">
        <v>4</v>
      </c>
    </row>
    <row r="5" spans="1:3" x14ac:dyDescent="0.35">
      <c r="A5" s="6" t="s">
        <v>405</v>
      </c>
      <c r="B5" s="4"/>
      <c r="C5" s="4"/>
    </row>
    <row r="6" spans="1:3" x14ac:dyDescent="0.35">
      <c r="A6" s="8" t="s">
        <v>407</v>
      </c>
      <c r="B6" s="4">
        <v>67845</v>
      </c>
      <c r="C6" s="4">
        <v>61873</v>
      </c>
    </row>
    <row r="7" spans="1:3" x14ac:dyDescent="0.35">
      <c r="A7" s="8" t="s">
        <v>408</v>
      </c>
      <c r="B7" s="4">
        <v>27908</v>
      </c>
      <c r="C7" s="4">
        <v>28709</v>
      </c>
    </row>
    <row r="8" spans="1:3" x14ac:dyDescent="0.35">
      <c r="A8" s="8" t="s">
        <v>409</v>
      </c>
      <c r="B8" s="4">
        <v>8246</v>
      </c>
      <c r="C8" s="4">
        <v>6876</v>
      </c>
    </row>
    <row r="9" spans="1:3" x14ac:dyDescent="0.35">
      <c r="A9" s="8" t="s">
        <v>410</v>
      </c>
      <c r="B9" s="4">
        <v>14933</v>
      </c>
      <c r="C9" s="4">
        <v>8932</v>
      </c>
    </row>
    <row r="10" spans="1:3" x14ac:dyDescent="0.35">
      <c r="A10" s="6" t="s">
        <v>406</v>
      </c>
      <c r="B10" s="4"/>
      <c r="C10" s="4"/>
    </row>
    <row r="11" spans="1:3" x14ac:dyDescent="0.35">
      <c r="A11" s="8" t="s">
        <v>411</v>
      </c>
      <c r="B11" s="4">
        <v>38299</v>
      </c>
      <c r="C11" s="4">
        <v>15584</v>
      </c>
    </row>
    <row r="12" spans="1:3" x14ac:dyDescent="0.35">
      <c r="A12" s="8" t="s">
        <v>412</v>
      </c>
      <c r="B12" s="4">
        <v>18091</v>
      </c>
      <c r="C12" s="4">
        <v>39576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62703-628E-4CF4-BA22-7B8ED388C67C}">
  <sheetPr>
    <tabColor theme="7" tint="-0.249977111117893"/>
  </sheetPr>
  <dimension ref="B2:U33"/>
  <sheetViews>
    <sheetView showGridLines="0" tabSelected="1" zoomScale="60" zoomScaleNormal="60" workbookViewId="0">
      <selection activeCell="S10" sqref="S10"/>
    </sheetView>
  </sheetViews>
  <sheetFormatPr defaultRowHeight="14.5" x14ac:dyDescent="0.35"/>
  <cols>
    <col min="2" max="2" width="13.7265625" bestFit="1" customWidth="1"/>
    <col min="3" max="3" width="15.54296875" customWidth="1"/>
    <col min="4" max="4" width="24.08984375" customWidth="1"/>
    <col min="5" max="5" width="17.08984375" customWidth="1"/>
    <col min="6" max="6" width="18.26953125" customWidth="1"/>
    <col min="7" max="7" width="17" customWidth="1"/>
    <col min="9" max="9" width="18.90625" bestFit="1" customWidth="1"/>
    <col min="10" max="10" width="19.6328125" bestFit="1" customWidth="1"/>
    <col min="11" max="11" width="12" bestFit="1" customWidth="1"/>
    <col min="13" max="13" width="12.81640625" customWidth="1"/>
    <col min="14" max="14" width="19" customWidth="1"/>
    <col min="15" max="15" width="20.90625" customWidth="1"/>
    <col min="16" max="17" width="8.7265625" customWidth="1"/>
    <col min="18" max="18" width="17.7265625" customWidth="1"/>
    <col min="19" max="19" width="13.6328125" customWidth="1"/>
    <col min="20" max="20" width="68.1796875" customWidth="1"/>
  </cols>
  <sheetData>
    <row r="2" spans="3:21" ht="37" x14ac:dyDescent="0.85">
      <c r="F2" s="9" t="s">
        <v>423</v>
      </c>
      <c r="O2" s="11" t="s">
        <v>401</v>
      </c>
      <c r="P2" s="11" t="s">
        <v>402</v>
      </c>
      <c r="Q2" s="11" t="s">
        <v>5</v>
      </c>
    </row>
    <row r="3" spans="3:21" ht="47" x14ac:dyDescent="0.35">
      <c r="O3" s="12" t="s">
        <v>217</v>
      </c>
      <c r="P3" s="11">
        <v>1</v>
      </c>
      <c r="Q3" s="11">
        <v>2989</v>
      </c>
    </row>
    <row r="4" spans="3:21" ht="70.5" x14ac:dyDescent="0.35">
      <c r="C4" s="12" t="s">
        <v>424</v>
      </c>
      <c r="D4" s="13">
        <v>28012964.269999985</v>
      </c>
      <c r="F4" s="11" t="s">
        <v>425</v>
      </c>
      <c r="G4" s="15">
        <v>31473</v>
      </c>
      <c r="I4" s="12" t="s">
        <v>426</v>
      </c>
      <c r="J4" s="11">
        <v>5</v>
      </c>
      <c r="O4" s="12" t="s">
        <v>34</v>
      </c>
      <c r="P4" s="11">
        <v>2</v>
      </c>
      <c r="Q4" s="11">
        <v>2968</v>
      </c>
    </row>
    <row r="5" spans="3:21" ht="47" x14ac:dyDescent="0.35">
      <c r="O5" s="12" t="s">
        <v>32</v>
      </c>
      <c r="P5" s="11">
        <v>3</v>
      </c>
      <c r="Q5" s="11">
        <v>2942</v>
      </c>
      <c r="U5" t="s">
        <v>428</v>
      </c>
    </row>
    <row r="6" spans="3:21" ht="47" x14ac:dyDescent="0.35">
      <c r="O6" s="12" t="s">
        <v>139</v>
      </c>
      <c r="P6" s="11">
        <v>4</v>
      </c>
      <c r="Q6" s="11">
        <v>2929</v>
      </c>
    </row>
    <row r="7" spans="3:21" ht="70.5" x14ac:dyDescent="0.35">
      <c r="O7" s="12" t="s">
        <v>361</v>
      </c>
      <c r="P7" s="11">
        <v>5</v>
      </c>
      <c r="Q7" s="11">
        <v>2914</v>
      </c>
    </row>
    <row r="8" spans="3:21" ht="70.5" x14ac:dyDescent="0.35">
      <c r="O8" s="12" t="s">
        <v>324</v>
      </c>
      <c r="P8" s="11">
        <v>6</v>
      </c>
      <c r="Q8" s="11">
        <v>2901</v>
      </c>
    </row>
    <row r="9" spans="3:21" ht="47" x14ac:dyDescent="0.35">
      <c r="O9" s="12" t="s">
        <v>363</v>
      </c>
      <c r="P9" s="11">
        <v>7</v>
      </c>
      <c r="Q9" s="11">
        <v>2887</v>
      </c>
    </row>
    <row r="10" spans="3:21" ht="47" x14ac:dyDescent="0.35">
      <c r="O10" s="12" t="s">
        <v>258</v>
      </c>
      <c r="P10" s="11">
        <v>8</v>
      </c>
      <c r="Q10" s="11">
        <v>2878</v>
      </c>
    </row>
    <row r="11" spans="3:21" ht="94" x14ac:dyDescent="0.35">
      <c r="I11" s="16" t="s">
        <v>404</v>
      </c>
      <c r="J11" s="12" t="s">
        <v>427</v>
      </c>
      <c r="K11" s="11" t="s">
        <v>422</v>
      </c>
      <c r="O11" s="12" t="s">
        <v>294</v>
      </c>
      <c r="P11" s="11">
        <v>9</v>
      </c>
      <c r="Q11" s="11">
        <v>2877</v>
      </c>
    </row>
    <row r="12" spans="3:21" ht="70.5" x14ac:dyDescent="0.55000000000000004">
      <c r="I12" s="17" t="s">
        <v>15</v>
      </c>
      <c r="J12" s="14">
        <v>1831.7727272727273</v>
      </c>
      <c r="K12" s="18">
        <v>0.358881118050773</v>
      </c>
      <c r="O12" s="12" t="s">
        <v>282</v>
      </c>
      <c r="P12" s="11">
        <v>10</v>
      </c>
      <c r="Q12" s="11">
        <v>2863</v>
      </c>
    </row>
    <row r="13" spans="3:21" ht="23.5" x14ac:dyDescent="0.55000000000000004">
      <c r="I13" s="17" t="s">
        <v>25</v>
      </c>
      <c r="J13" s="14">
        <v>1766.25</v>
      </c>
      <c r="K13" s="18">
        <v>0.33555771925241634</v>
      </c>
    </row>
    <row r="14" spans="3:21" ht="23.5" x14ac:dyDescent="0.55000000000000004">
      <c r="I14" s="17" t="s">
        <v>35</v>
      </c>
      <c r="J14" s="14">
        <v>1871.5454545454545</v>
      </c>
      <c r="K14" s="18">
        <v>0.30556116269681066</v>
      </c>
    </row>
    <row r="33" spans="2:4" s="7" customFormat="1" x14ac:dyDescent="0.35">
      <c r="B33"/>
      <c r="C33"/>
      <c r="D33"/>
    </row>
  </sheetData>
  <pageMargins left="0.7" right="0.7" top="0.75" bottom="0.75" header="0.3" footer="0.3"/>
  <pageSetup paperSize="9"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48B7-82C8-4E39-B87A-23C07B21F991}">
  <sheetPr>
    <tabColor theme="5"/>
  </sheetPr>
  <dimension ref="A3:A11"/>
  <sheetViews>
    <sheetView workbookViewId="0">
      <selection activeCell="A3" sqref="A3"/>
    </sheetView>
  </sheetViews>
  <sheetFormatPr defaultRowHeight="14.5" x14ac:dyDescent="0.35"/>
  <cols>
    <col min="1" max="1" width="75.54296875" customWidth="1"/>
  </cols>
  <sheetData>
    <row r="3" spans="1:1" ht="109.5" customHeight="1" x14ac:dyDescent="0.35">
      <c r="A3" s="19" t="s">
        <v>429</v>
      </c>
    </row>
    <row r="4" spans="1:1" ht="16" x14ac:dyDescent="0.4">
      <c r="A4" s="20"/>
    </row>
    <row r="5" spans="1:1" ht="178.5" customHeight="1" x14ac:dyDescent="0.35">
      <c r="A5" s="19" t="s">
        <v>430</v>
      </c>
    </row>
    <row r="6" spans="1:1" ht="16" x14ac:dyDescent="0.4">
      <c r="A6" s="20"/>
    </row>
    <row r="7" spans="1:1" ht="192" customHeight="1" x14ac:dyDescent="0.35">
      <c r="A7" s="19" t="s">
        <v>431</v>
      </c>
    </row>
    <row r="8" spans="1:1" ht="16" x14ac:dyDescent="0.4">
      <c r="A8" s="20"/>
    </row>
    <row r="9" spans="1:1" ht="176" customHeight="1" x14ac:dyDescent="0.35">
      <c r="A9" s="19" t="s">
        <v>432</v>
      </c>
    </row>
    <row r="10" spans="1:1" ht="16" x14ac:dyDescent="0.4">
      <c r="A10" s="20"/>
    </row>
    <row r="11" spans="1:1" ht="176" customHeight="1" x14ac:dyDescent="0.35">
      <c r="A11" s="19" t="s">
        <v>433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71B39-49AC-4794-953E-6DC434C43EEB}">
  <dimension ref="A3:C8"/>
  <sheetViews>
    <sheetView workbookViewId="0">
      <selection activeCell="I24" sqref="I24"/>
    </sheetView>
  </sheetViews>
  <sheetFormatPr defaultRowHeight="14.5" x14ac:dyDescent="0.35"/>
  <cols>
    <col min="1" max="1" width="12.90625" bestFit="1" customWidth="1"/>
    <col min="2" max="2" width="15.08984375" bestFit="1" customWidth="1"/>
    <col min="3" max="3" width="23" bestFit="1" customWidth="1"/>
  </cols>
  <sheetData>
    <row r="3" spans="1:3" x14ac:dyDescent="0.35">
      <c r="A3" s="5" t="s">
        <v>399</v>
      </c>
      <c r="B3" t="s">
        <v>418</v>
      </c>
      <c r="C3" t="s">
        <v>421</v>
      </c>
    </row>
    <row r="4" spans="1:3" x14ac:dyDescent="0.35">
      <c r="A4" s="6" t="s">
        <v>21</v>
      </c>
      <c r="B4" s="21">
        <v>19883423.41</v>
      </c>
      <c r="C4" s="10">
        <v>0.70979362335080709</v>
      </c>
    </row>
    <row r="5" spans="1:3" x14ac:dyDescent="0.35">
      <c r="A5" s="6" t="s">
        <v>226</v>
      </c>
      <c r="B5" s="21">
        <v>3453749.9299999997</v>
      </c>
      <c r="C5" s="10">
        <v>0.12329112680512476</v>
      </c>
    </row>
    <row r="6" spans="1:3" x14ac:dyDescent="0.35">
      <c r="A6" s="6" t="s">
        <v>283</v>
      </c>
      <c r="B6" s="21">
        <v>3157687.58</v>
      </c>
      <c r="C6" s="10">
        <v>0.11272236488666323</v>
      </c>
    </row>
    <row r="7" spans="1:3" x14ac:dyDescent="0.35">
      <c r="A7" s="6" t="s">
        <v>370</v>
      </c>
      <c r="B7" s="21">
        <v>913189.49999999988</v>
      </c>
      <c r="C7" s="10">
        <v>3.2598817147600628E-2</v>
      </c>
    </row>
    <row r="8" spans="1:3" x14ac:dyDescent="0.35">
      <c r="A8" s="6" t="s">
        <v>351</v>
      </c>
      <c r="B8" s="21">
        <v>604913.85</v>
      </c>
      <c r="C8" s="10">
        <v>2.1594067809804118E-2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EC894-8898-404E-BDA6-D162B3D89A49}">
  <dimension ref="A3:C9"/>
  <sheetViews>
    <sheetView workbookViewId="0">
      <selection activeCell="B8" sqref="B8"/>
    </sheetView>
  </sheetViews>
  <sheetFormatPr defaultRowHeight="14.5" x14ac:dyDescent="0.35"/>
  <cols>
    <col min="1" max="1" width="19.1796875" bestFit="1" customWidth="1"/>
    <col min="2" max="2" width="16.1796875" bestFit="1" customWidth="1"/>
    <col min="3" max="3" width="11.453125" bestFit="1" customWidth="1"/>
    <col min="4" max="4" width="18.453125" bestFit="1" customWidth="1"/>
    <col min="5" max="5" width="14.36328125" bestFit="1" customWidth="1"/>
  </cols>
  <sheetData>
    <row r="3" spans="1:3" x14ac:dyDescent="0.35">
      <c r="A3" s="5" t="s">
        <v>400</v>
      </c>
      <c r="B3" s="5" t="s">
        <v>403</v>
      </c>
    </row>
    <row r="4" spans="1:3" x14ac:dyDescent="0.35">
      <c r="A4" s="5" t="s">
        <v>399</v>
      </c>
      <c r="B4" t="s">
        <v>414</v>
      </c>
      <c r="C4" t="s">
        <v>415</v>
      </c>
    </row>
    <row r="5" spans="1:3" x14ac:dyDescent="0.35">
      <c r="A5" s="6" t="s">
        <v>21</v>
      </c>
      <c r="B5" s="4">
        <v>92624</v>
      </c>
      <c r="C5" s="4">
        <v>93711</v>
      </c>
    </row>
    <row r="6" spans="1:3" x14ac:dyDescent="0.35">
      <c r="A6" s="6" t="s">
        <v>351</v>
      </c>
      <c r="B6" s="4">
        <v>7185</v>
      </c>
      <c r="C6" s="4">
        <v>3243</v>
      </c>
    </row>
    <row r="7" spans="1:3" x14ac:dyDescent="0.35">
      <c r="A7" s="6" t="s">
        <v>226</v>
      </c>
      <c r="B7" s="4">
        <v>28560</v>
      </c>
      <c r="C7" s="4">
        <v>25323</v>
      </c>
    </row>
    <row r="8" spans="1:3" x14ac:dyDescent="0.35">
      <c r="A8" s="6" t="s">
        <v>283</v>
      </c>
      <c r="B8" s="4">
        <v>29792</v>
      </c>
      <c r="C8" s="4">
        <v>32569</v>
      </c>
    </row>
    <row r="9" spans="1:3" x14ac:dyDescent="0.35">
      <c r="A9" s="6" t="s">
        <v>370</v>
      </c>
      <c r="B9" s="4">
        <v>14267</v>
      </c>
      <c r="C9" s="4">
        <v>9598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3EFF-AE77-4B78-9223-5798A00B3CDB}">
  <dimension ref="A3:C6"/>
  <sheetViews>
    <sheetView workbookViewId="0">
      <selection activeCell="A2" sqref="A2:C6"/>
    </sheetView>
  </sheetViews>
  <sheetFormatPr defaultRowHeight="14.5" x14ac:dyDescent="0.35"/>
  <cols>
    <col min="1" max="1" width="12" bestFit="1" customWidth="1"/>
    <col min="2" max="2" width="22.36328125" bestFit="1" customWidth="1"/>
    <col min="3" max="3" width="7.7265625" bestFit="1" customWidth="1"/>
    <col min="4" max="4" width="17.1796875" bestFit="1" customWidth="1"/>
  </cols>
  <sheetData>
    <row r="3" spans="1:3" x14ac:dyDescent="0.35">
      <c r="A3" s="5" t="s">
        <v>404</v>
      </c>
      <c r="B3" t="s">
        <v>419</v>
      </c>
      <c r="C3" t="s">
        <v>422</v>
      </c>
    </row>
    <row r="4" spans="1:3" x14ac:dyDescent="0.35">
      <c r="A4" s="6" t="s">
        <v>15</v>
      </c>
      <c r="B4" s="4">
        <v>1831.7727272727273</v>
      </c>
      <c r="C4" s="10">
        <v>0.358881118050773</v>
      </c>
    </row>
    <row r="5" spans="1:3" x14ac:dyDescent="0.35">
      <c r="A5" s="6" t="s">
        <v>25</v>
      </c>
      <c r="B5" s="4">
        <v>1766.25</v>
      </c>
      <c r="C5" s="10">
        <v>0.33555771925241634</v>
      </c>
    </row>
    <row r="6" spans="1:3" x14ac:dyDescent="0.35">
      <c r="A6" s="6" t="s">
        <v>35</v>
      </c>
      <c r="B6" s="4">
        <v>1871.5454545454545</v>
      </c>
      <c r="C6" s="10">
        <v>0.30556116269681066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996F-C23F-4D8A-8A23-5A8E9EE02357}">
  <dimension ref="A1:T186"/>
  <sheetViews>
    <sheetView topLeftCell="J1" workbookViewId="0">
      <selection activeCell="T1" sqref="T1:T5"/>
    </sheetView>
  </sheetViews>
  <sheetFormatPr defaultRowHeight="14.5" x14ac:dyDescent="0.35"/>
  <cols>
    <col min="1" max="1" width="11.81640625" bestFit="1" customWidth="1"/>
    <col min="2" max="2" width="16.90625" bestFit="1" customWidth="1"/>
    <col min="3" max="3" width="11.7265625" bestFit="1" customWidth="1"/>
    <col min="4" max="4" width="17.453125" bestFit="1" customWidth="1"/>
    <col min="5" max="5" width="10.7265625" bestFit="1" customWidth="1"/>
    <col min="6" max="6" width="14.36328125" bestFit="1" customWidth="1"/>
    <col min="7" max="7" width="8" bestFit="1" customWidth="1"/>
    <col min="8" max="8" width="16.1796875" bestFit="1" customWidth="1"/>
    <col min="9" max="9" width="43.26953125" bestFit="1" customWidth="1"/>
    <col min="10" max="10" width="7.36328125" style="3" bestFit="1" customWidth="1"/>
    <col min="11" max="11" width="10.453125" bestFit="1" customWidth="1"/>
    <col min="12" max="12" width="14.36328125" bestFit="1" customWidth="1"/>
    <col min="13" max="13" width="14.453125" bestFit="1" customWidth="1"/>
    <col min="14" max="14" width="8.1796875" bestFit="1" customWidth="1"/>
    <col min="15" max="15" width="9.26953125" bestFit="1" customWidth="1"/>
    <col min="16" max="16" width="10.36328125" bestFit="1" customWidth="1"/>
    <col min="17" max="17" width="11.6328125" bestFit="1" customWidth="1"/>
    <col min="18" max="18" width="14.90625" bestFit="1" customWidth="1"/>
    <col min="20" max="20" width="11.6328125" bestFit="1" customWidth="1"/>
  </cols>
  <sheetData>
    <row r="1" spans="1:20" x14ac:dyDescent="0.35">
      <c r="A1" t="s">
        <v>0</v>
      </c>
      <c r="B1" t="s">
        <v>1</v>
      </c>
      <c r="C1" t="s">
        <v>2</v>
      </c>
      <c r="D1" t="s">
        <v>3</v>
      </c>
      <c r="E1" t="s">
        <v>4</v>
      </c>
      <c r="F1" t="s">
        <v>5</v>
      </c>
      <c r="G1" t="s">
        <v>6</v>
      </c>
      <c r="H1" t="s">
        <v>7</v>
      </c>
      <c r="I1" t="s">
        <v>8</v>
      </c>
      <c r="J1" s="3" t="s">
        <v>9</v>
      </c>
      <c r="K1" t="s">
        <v>10</v>
      </c>
      <c r="L1" t="s">
        <v>11</v>
      </c>
      <c r="M1" t="s">
        <v>12</v>
      </c>
      <c r="N1" t="s">
        <v>13</v>
      </c>
      <c r="O1" t="s">
        <v>14</v>
      </c>
      <c r="P1" t="s">
        <v>416</v>
      </c>
      <c r="Q1" t="s">
        <v>420</v>
      </c>
      <c r="S1" t="s">
        <v>21</v>
      </c>
      <c r="T1">
        <f>COUNTIF(N2:N186,N2)</f>
        <v>102</v>
      </c>
    </row>
    <row r="2" spans="1:20" x14ac:dyDescent="0.35">
      <c r="A2">
        <v>185102</v>
      </c>
      <c r="B2" t="s">
        <v>15</v>
      </c>
      <c r="C2" t="s">
        <v>16</v>
      </c>
      <c r="D2" t="s">
        <v>17</v>
      </c>
      <c r="E2" t="s">
        <v>16</v>
      </c>
      <c r="F2" s="4">
        <v>2823</v>
      </c>
      <c r="G2" t="s">
        <v>18</v>
      </c>
      <c r="H2" t="s">
        <v>417</v>
      </c>
      <c r="I2" t="s">
        <v>19</v>
      </c>
      <c r="J2" s="3">
        <v>19.989999999999998</v>
      </c>
      <c r="K2" t="s">
        <v>20</v>
      </c>
      <c r="L2" s="1">
        <v>45341</v>
      </c>
      <c r="M2" s="2">
        <v>0.36811342592592594</v>
      </c>
      <c r="N2" t="s">
        <v>21</v>
      </c>
      <c r="O2" t="s">
        <v>22</v>
      </c>
      <c r="P2">
        <f>Zara_data[[#This Row],[Sales Volume]]*Zara_data[[#This Row],[price]]</f>
        <v>56431.77</v>
      </c>
      <c r="Q2">
        <f>Zara_data[[#This Row],[Revenue]]/Zara_data[[#This Row],[Sales Volume]]</f>
        <v>19.989999999999998</v>
      </c>
      <c r="S2" t="s">
        <v>226</v>
      </c>
      <c r="T2">
        <f t="shared" ref="T2:T5" si="0">COUNTIF(N3:N187,N3)</f>
        <v>101</v>
      </c>
    </row>
    <row r="3" spans="1:20" x14ac:dyDescent="0.35">
      <c r="A3">
        <v>188771</v>
      </c>
      <c r="B3" t="s">
        <v>15</v>
      </c>
      <c r="C3" t="s">
        <v>16</v>
      </c>
      <c r="D3" t="s">
        <v>17</v>
      </c>
      <c r="E3" t="s">
        <v>16</v>
      </c>
      <c r="F3" s="4">
        <v>654</v>
      </c>
      <c r="G3" t="s">
        <v>18</v>
      </c>
      <c r="H3" t="s">
        <v>23</v>
      </c>
      <c r="I3" t="s">
        <v>24</v>
      </c>
      <c r="J3" s="3">
        <v>169</v>
      </c>
      <c r="K3" t="s">
        <v>20</v>
      </c>
      <c r="L3" s="1">
        <v>45341</v>
      </c>
      <c r="M3" s="2">
        <v>0.36812499999999998</v>
      </c>
      <c r="N3" t="s">
        <v>21</v>
      </c>
      <c r="O3" t="s">
        <v>22</v>
      </c>
      <c r="P3">
        <f>Zara_data[[#This Row],[Sales Volume]]*Zara_data[[#This Row],[price]]</f>
        <v>110526</v>
      </c>
      <c r="Q3">
        <f>Zara_data[[#This Row],[Revenue]]/Zara_data[[#This Row],[Sales Volume]]</f>
        <v>169</v>
      </c>
      <c r="S3" t="s">
        <v>283</v>
      </c>
      <c r="T3">
        <f t="shared" si="0"/>
        <v>100</v>
      </c>
    </row>
    <row r="4" spans="1:20" x14ac:dyDescent="0.35">
      <c r="A4">
        <v>180176</v>
      </c>
      <c r="B4" t="s">
        <v>25</v>
      </c>
      <c r="C4" t="s">
        <v>26</v>
      </c>
      <c r="D4" t="s">
        <v>17</v>
      </c>
      <c r="E4" t="s">
        <v>26</v>
      </c>
      <c r="F4" s="4">
        <v>2220</v>
      </c>
      <c r="G4" t="s">
        <v>18</v>
      </c>
      <c r="H4" t="s">
        <v>27</v>
      </c>
      <c r="I4" t="s">
        <v>28</v>
      </c>
      <c r="J4" s="3">
        <v>129</v>
      </c>
      <c r="K4" t="s">
        <v>20</v>
      </c>
      <c r="L4" s="1">
        <v>45341</v>
      </c>
      <c r="M4" s="2">
        <v>0.36813657407407407</v>
      </c>
      <c r="N4" t="s">
        <v>21</v>
      </c>
      <c r="O4" t="s">
        <v>22</v>
      </c>
      <c r="P4">
        <f>Zara_data[[#This Row],[Sales Volume]]*Zara_data[[#This Row],[price]]</f>
        <v>286380</v>
      </c>
      <c r="Q4">
        <f>Zara_data[[#This Row],[Revenue]]/Zara_data[[#This Row],[Sales Volume]]</f>
        <v>129</v>
      </c>
      <c r="S4" t="s">
        <v>351</v>
      </c>
      <c r="T4">
        <f t="shared" si="0"/>
        <v>99</v>
      </c>
    </row>
    <row r="5" spans="1:20" x14ac:dyDescent="0.35">
      <c r="A5">
        <v>112917</v>
      </c>
      <c r="B5" t="s">
        <v>15</v>
      </c>
      <c r="C5" t="s">
        <v>26</v>
      </c>
      <c r="D5" t="s">
        <v>17</v>
      </c>
      <c r="E5" t="s">
        <v>26</v>
      </c>
      <c r="F5" s="4">
        <v>1568</v>
      </c>
      <c r="G5" t="s">
        <v>18</v>
      </c>
      <c r="H5" t="s">
        <v>29</v>
      </c>
      <c r="I5" t="s">
        <v>30</v>
      </c>
      <c r="J5" s="3">
        <v>129</v>
      </c>
      <c r="K5" t="s">
        <v>20</v>
      </c>
      <c r="L5" s="1">
        <v>45341</v>
      </c>
      <c r="M5" s="2">
        <v>0.36813657407407407</v>
      </c>
      <c r="N5" t="s">
        <v>21</v>
      </c>
      <c r="O5" t="s">
        <v>22</v>
      </c>
      <c r="P5">
        <f>Zara_data[[#This Row],[Sales Volume]]*Zara_data[[#This Row],[price]]</f>
        <v>202272</v>
      </c>
      <c r="Q5">
        <f>Zara_data[[#This Row],[Revenue]]/Zara_data[[#This Row],[Sales Volume]]</f>
        <v>129</v>
      </c>
      <c r="S5" t="s">
        <v>370</v>
      </c>
      <c r="T5">
        <f t="shared" si="0"/>
        <v>98</v>
      </c>
    </row>
    <row r="6" spans="1:20" x14ac:dyDescent="0.35">
      <c r="A6">
        <v>192936</v>
      </c>
      <c r="B6" t="s">
        <v>25</v>
      </c>
      <c r="C6" t="s">
        <v>16</v>
      </c>
      <c r="D6" t="s">
        <v>17</v>
      </c>
      <c r="E6" t="s">
        <v>26</v>
      </c>
      <c r="F6" s="4">
        <v>2942</v>
      </c>
      <c r="G6" t="s">
        <v>18</v>
      </c>
      <c r="H6" t="s">
        <v>31</v>
      </c>
      <c r="I6" t="s">
        <v>32</v>
      </c>
      <c r="J6" s="3">
        <v>139</v>
      </c>
      <c r="K6" t="s">
        <v>20</v>
      </c>
      <c r="L6" s="1">
        <v>45341</v>
      </c>
      <c r="M6" s="2">
        <v>0.36814814814814817</v>
      </c>
      <c r="N6" t="s">
        <v>21</v>
      </c>
      <c r="O6" t="s">
        <v>22</v>
      </c>
      <c r="P6">
        <f>Zara_data[[#This Row],[Sales Volume]]*Zara_data[[#This Row],[price]]</f>
        <v>408938</v>
      </c>
      <c r="Q6">
        <f>Zara_data[[#This Row],[Revenue]]/Zara_data[[#This Row],[Sales Volume]]</f>
        <v>139</v>
      </c>
    </row>
    <row r="7" spans="1:20" x14ac:dyDescent="0.35">
      <c r="A7">
        <v>117590</v>
      </c>
      <c r="B7" t="s">
        <v>25</v>
      </c>
      <c r="C7" t="s">
        <v>16</v>
      </c>
      <c r="D7" t="s">
        <v>17</v>
      </c>
      <c r="E7" t="s">
        <v>16</v>
      </c>
      <c r="F7" s="4">
        <v>2968</v>
      </c>
      <c r="G7" t="s">
        <v>18</v>
      </c>
      <c r="H7" t="s">
        <v>33</v>
      </c>
      <c r="I7" t="s">
        <v>34</v>
      </c>
      <c r="J7" s="3">
        <v>79.900000000000006</v>
      </c>
      <c r="K7" t="s">
        <v>20</v>
      </c>
      <c r="L7" s="1">
        <v>45341</v>
      </c>
      <c r="M7" s="2">
        <v>0.36815972222222221</v>
      </c>
      <c r="N7" t="s">
        <v>21</v>
      </c>
      <c r="O7" t="s">
        <v>22</v>
      </c>
      <c r="P7">
        <f>Zara_data[[#This Row],[Sales Volume]]*Zara_data[[#This Row],[price]]</f>
        <v>237143.2</v>
      </c>
      <c r="Q7">
        <f>Zara_data[[#This Row],[Revenue]]/Zara_data[[#This Row],[Sales Volume]]</f>
        <v>79.900000000000006</v>
      </c>
    </row>
    <row r="8" spans="1:20" x14ac:dyDescent="0.35">
      <c r="A8">
        <v>189118</v>
      </c>
      <c r="B8" t="s">
        <v>35</v>
      </c>
      <c r="C8" t="s">
        <v>26</v>
      </c>
      <c r="D8" t="s">
        <v>17</v>
      </c>
      <c r="E8" t="s">
        <v>26</v>
      </c>
      <c r="F8" s="4">
        <v>952</v>
      </c>
      <c r="G8" t="s">
        <v>18</v>
      </c>
      <c r="H8" t="s">
        <v>36</v>
      </c>
      <c r="I8" t="s">
        <v>37</v>
      </c>
      <c r="J8" s="3">
        <v>69.989999999999995</v>
      </c>
      <c r="K8" t="s">
        <v>20</v>
      </c>
      <c r="L8" s="1">
        <v>45341</v>
      </c>
      <c r="M8" s="2">
        <v>0.36815972222222221</v>
      </c>
      <c r="N8" t="s">
        <v>21</v>
      </c>
      <c r="O8" t="s">
        <v>22</v>
      </c>
      <c r="P8">
        <f>Zara_data[[#This Row],[Sales Volume]]*Zara_data[[#This Row],[price]]</f>
        <v>66630.48</v>
      </c>
      <c r="Q8">
        <f>Zara_data[[#This Row],[Revenue]]/Zara_data[[#This Row],[Sales Volume]]</f>
        <v>69.989999999999995</v>
      </c>
    </row>
    <row r="9" spans="1:20" x14ac:dyDescent="0.35">
      <c r="A9">
        <v>182157</v>
      </c>
      <c r="B9" t="s">
        <v>15</v>
      </c>
      <c r="C9" t="s">
        <v>16</v>
      </c>
      <c r="D9" t="s">
        <v>17</v>
      </c>
      <c r="E9" t="s">
        <v>16</v>
      </c>
      <c r="F9" s="4">
        <v>2421</v>
      </c>
      <c r="G9" t="s">
        <v>18</v>
      </c>
      <c r="H9" t="s">
        <v>38</v>
      </c>
      <c r="I9" t="s">
        <v>39</v>
      </c>
      <c r="J9" s="3">
        <v>159</v>
      </c>
      <c r="K9" t="s">
        <v>20</v>
      </c>
      <c r="L9" s="1">
        <v>45341</v>
      </c>
      <c r="M9" s="2">
        <v>0.3681712962962963</v>
      </c>
      <c r="N9" t="s">
        <v>21</v>
      </c>
      <c r="O9" t="s">
        <v>22</v>
      </c>
      <c r="P9">
        <f>Zara_data[[#This Row],[Sales Volume]]*Zara_data[[#This Row],[price]]</f>
        <v>384939</v>
      </c>
      <c r="Q9">
        <f>Zara_data[[#This Row],[Revenue]]/Zara_data[[#This Row],[Sales Volume]]</f>
        <v>159</v>
      </c>
    </row>
    <row r="10" spans="1:20" x14ac:dyDescent="0.35">
      <c r="A10">
        <v>141861</v>
      </c>
      <c r="B10" t="s">
        <v>15</v>
      </c>
      <c r="C10" t="s">
        <v>26</v>
      </c>
      <c r="D10" t="s">
        <v>17</v>
      </c>
      <c r="E10" t="s">
        <v>26</v>
      </c>
      <c r="F10" s="4">
        <v>1916</v>
      </c>
      <c r="G10" t="s">
        <v>18</v>
      </c>
      <c r="H10" t="s">
        <v>40</v>
      </c>
      <c r="I10" t="s">
        <v>41</v>
      </c>
      <c r="J10" s="3">
        <v>169</v>
      </c>
      <c r="K10" t="s">
        <v>20</v>
      </c>
      <c r="L10" s="1">
        <v>45341</v>
      </c>
      <c r="M10" s="2">
        <v>0.3681712962962963</v>
      </c>
      <c r="N10" t="s">
        <v>21</v>
      </c>
      <c r="O10" t="s">
        <v>22</v>
      </c>
      <c r="P10">
        <f>Zara_data[[#This Row],[Sales Volume]]*Zara_data[[#This Row],[price]]</f>
        <v>323804</v>
      </c>
      <c r="Q10">
        <f>Zara_data[[#This Row],[Revenue]]/Zara_data[[#This Row],[Sales Volume]]</f>
        <v>169</v>
      </c>
    </row>
    <row r="11" spans="1:20" x14ac:dyDescent="0.35">
      <c r="A11">
        <v>137121</v>
      </c>
      <c r="B11" t="s">
        <v>15</v>
      </c>
      <c r="C11" t="s">
        <v>16</v>
      </c>
      <c r="D11" t="s">
        <v>17</v>
      </c>
      <c r="E11" t="s">
        <v>26</v>
      </c>
      <c r="F11" s="4">
        <v>656</v>
      </c>
      <c r="G11" t="s">
        <v>18</v>
      </c>
      <c r="H11" t="s">
        <v>42</v>
      </c>
      <c r="I11" t="s">
        <v>43</v>
      </c>
      <c r="J11" s="3">
        <v>169</v>
      </c>
      <c r="K11" t="s">
        <v>20</v>
      </c>
      <c r="L11" s="1">
        <v>45341</v>
      </c>
      <c r="M11" s="2">
        <v>0.3681828703703704</v>
      </c>
      <c r="N11" t="s">
        <v>21</v>
      </c>
      <c r="O11" t="s">
        <v>22</v>
      </c>
      <c r="P11">
        <f>Zara_data[[#This Row],[Sales Volume]]*Zara_data[[#This Row],[price]]</f>
        <v>110864</v>
      </c>
      <c r="Q11">
        <f>Zara_data[[#This Row],[Revenue]]/Zara_data[[#This Row],[Sales Volume]]</f>
        <v>169</v>
      </c>
    </row>
    <row r="12" spans="1:20" x14ac:dyDescent="0.35">
      <c r="A12">
        <v>113143</v>
      </c>
      <c r="B12" t="s">
        <v>15</v>
      </c>
      <c r="C12" t="s">
        <v>26</v>
      </c>
      <c r="D12" t="s">
        <v>17</v>
      </c>
      <c r="E12" t="s">
        <v>26</v>
      </c>
      <c r="F12" s="4">
        <v>2663</v>
      </c>
      <c r="G12" t="s">
        <v>18</v>
      </c>
      <c r="H12" t="s">
        <v>44</v>
      </c>
      <c r="I12" t="s">
        <v>45</v>
      </c>
      <c r="J12" s="3">
        <v>129</v>
      </c>
      <c r="K12" t="s">
        <v>20</v>
      </c>
      <c r="L12" s="1">
        <v>45341</v>
      </c>
      <c r="M12" s="2">
        <v>0.36819444444444444</v>
      </c>
      <c r="N12" t="s">
        <v>21</v>
      </c>
      <c r="O12" t="s">
        <v>22</v>
      </c>
      <c r="P12">
        <f>Zara_data[[#This Row],[Sales Volume]]*Zara_data[[#This Row],[price]]</f>
        <v>343527</v>
      </c>
      <c r="Q12">
        <f>Zara_data[[#This Row],[Revenue]]/Zara_data[[#This Row],[Sales Volume]]</f>
        <v>129</v>
      </c>
    </row>
    <row r="13" spans="1:20" x14ac:dyDescent="0.35">
      <c r="A13">
        <v>140028</v>
      </c>
      <c r="B13" t="s">
        <v>15</v>
      </c>
      <c r="C13" t="s">
        <v>26</v>
      </c>
      <c r="D13" t="s">
        <v>17</v>
      </c>
      <c r="E13" t="s">
        <v>26</v>
      </c>
      <c r="F13" s="4">
        <v>1260</v>
      </c>
      <c r="G13" t="s">
        <v>18</v>
      </c>
      <c r="H13" t="s">
        <v>46</v>
      </c>
      <c r="I13" t="s">
        <v>47</v>
      </c>
      <c r="J13" s="3">
        <v>159</v>
      </c>
      <c r="K13" t="s">
        <v>20</v>
      </c>
      <c r="L13" s="1">
        <v>45341</v>
      </c>
      <c r="M13" s="2">
        <v>0.36819444444444444</v>
      </c>
      <c r="N13" t="s">
        <v>21</v>
      </c>
      <c r="O13" t="s">
        <v>22</v>
      </c>
      <c r="P13">
        <f>Zara_data[[#This Row],[Sales Volume]]*Zara_data[[#This Row],[price]]</f>
        <v>200340</v>
      </c>
      <c r="Q13">
        <f>Zara_data[[#This Row],[Revenue]]/Zara_data[[#This Row],[Sales Volume]]</f>
        <v>159</v>
      </c>
    </row>
    <row r="14" spans="1:20" x14ac:dyDescent="0.35">
      <c r="A14">
        <v>134693</v>
      </c>
      <c r="B14" t="s">
        <v>15</v>
      </c>
      <c r="C14" t="s">
        <v>26</v>
      </c>
      <c r="D14" t="s">
        <v>17</v>
      </c>
      <c r="E14" t="s">
        <v>16</v>
      </c>
      <c r="F14" s="4">
        <v>2124</v>
      </c>
      <c r="G14" t="s">
        <v>18</v>
      </c>
      <c r="H14" t="s">
        <v>48</v>
      </c>
      <c r="I14" t="s">
        <v>49</v>
      </c>
      <c r="J14" s="3">
        <v>169</v>
      </c>
      <c r="K14" t="s">
        <v>20</v>
      </c>
      <c r="L14" s="1">
        <v>45341</v>
      </c>
      <c r="M14" s="2">
        <v>0.36820601851851853</v>
      </c>
      <c r="N14" t="s">
        <v>21</v>
      </c>
      <c r="O14" t="s">
        <v>22</v>
      </c>
      <c r="P14">
        <f>Zara_data[[#This Row],[Sales Volume]]*Zara_data[[#This Row],[price]]</f>
        <v>358956</v>
      </c>
      <c r="Q14">
        <f>Zara_data[[#This Row],[Revenue]]/Zara_data[[#This Row],[Sales Volume]]</f>
        <v>169</v>
      </c>
    </row>
    <row r="15" spans="1:20" x14ac:dyDescent="0.35">
      <c r="A15">
        <v>151396</v>
      </c>
      <c r="B15" t="s">
        <v>35</v>
      </c>
      <c r="C15" t="s">
        <v>26</v>
      </c>
      <c r="D15" t="s">
        <v>17</v>
      </c>
      <c r="E15" t="s">
        <v>26</v>
      </c>
      <c r="F15" s="4">
        <v>729</v>
      </c>
      <c r="G15" t="s">
        <v>18</v>
      </c>
      <c r="H15" t="s">
        <v>50</v>
      </c>
      <c r="I15" t="s">
        <v>51</v>
      </c>
      <c r="J15" s="3">
        <v>439</v>
      </c>
      <c r="K15" t="s">
        <v>20</v>
      </c>
      <c r="L15" s="1">
        <v>45341</v>
      </c>
      <c r="M15" s="2">
        <v>0.36820601851851853</v>
      </c>
      <c r="N15" t="s">
        <v>21</v>
      </c>
      <c r="O15" t="s">
        <v>22</v>
      </c>
      <c r="P15">
        <f>Zara_data[[#This Row],[Sales Volume]]*Zara_data[[#This Row],[price]]</f>
        <v>320031</v>
      </c>
      <c r="Q15">
        <f>Zara_data[[#This Row],[Revenue]]/Zara_data[[#This Row],[Sales Volume]]</f>
        <v>439</v>
      </c>
    </row>
    <row r="16" spans="1:20" x14ac:dyDescent="0.35">
      <c r="A16">
        <v>132889</v>
      </c>
      <c r="B16" t="s">
        <v>15</v>
      </c>
      <c r="C16" t="s">
        <v>26</v>
      </c>
      <c r="D16" t="s">
        <v>17</v>
      </c>
      <c r="E16" t="s">
        <v>26</v>
      </c>
      <c r="F16" s="4">
        <v>2265</v>
      </c>
      <c r="G16" t="s">
        <v>18</v>
      </c>
      <c r="H16" t="s">
        <v>52</v>
      </c>
      <c r="I16" t="s">
        <v>53</v>
      </c>
      <c r="J16" s="3">
        <v>99.9</v>
      </c>
      <c r="K16" t="s">
        <v>20</v>
      </c>
      <c r="L16" s="1">
        <v>45341</v>
      </c>
      <c r="M16" s="2">
        <v>0.36821759259259257</v>
      </c>
      <c r="N16" t="s">
        <v>21</v>
      </c>
      <c r="O16" t="s">
        <v>22</v>
      </c>
      <c r="P16">
        <f>Zara_data[[#This Row],[Sales Volume]]*Zara_data[[#This Row],[price]]</f>
        <v>226273.5</v>
      </c>
      <c r="Q16">
        <f>Zara_data[[#This Row],[Revenue]]/Zara_data[[#This Row],[Sales Volume]]</f>
        <v>99.9</v>
      </c>
    </row>
    <row r="17" spans="1:17" x14ac:dyDescent="0.35">
      <c r="A17">
        <v>152174</v>
      </c>
      <c r="B17" t="s">
        <v>25</v>
      </c>
      <c r="C17" t="s">
        <v>16</v>
      </c>
      <c r="D17" t="s">
        <v>17</v>
      </c>
      <c r="E17" t="s">
        <v>16</v>
      </c>
      <c r="F17" s="4">
        <v>2226</v>
      </c>
      <c r="G17" t="s">
        <v>18</v>
      </c>
      <c r="H17" t="s">
        <v>54</v>
      </c>
      <c r="I17" t="s">
        <v>55</v>
      </c>
      <c r="J17" s="3">
        <v>99.9</v>
      </c>
      <c r="K17" t="s">
        <v>20</v>
      </c>
      <c r="L17" s="1">
        <v>45341</v>
      </c>
      <c r="M17" s="2">
        <v>0.36821759259259257</v>
      </c>
      <c r="N17" t="s">
        <v>21</v>
      </c>
      <c r="O17" t="s">
        <v>22</v>
      </c>
      <c r="P17">
        <f>Zara_data[[#This Row],[Sales Volume]]*Zara_data[[#This Row],[price]]</f>
        <v>222377.40000000002</v>
      </c>
      <c r="Q17">
        <f>Zara_data[[#This Row],[Revenue]]/Zara_data[[#This Row],[Sales Volume]]</f>
        <v>99.9</v>
      </c>
    </row>
    <row r="18" spans="1:17" x14ac:dyDescent="0.35">
      <c r="A18">
        <v>129906</v>
      </c>
      <c r="B18" t="s">
        <v>15</v>
      </c>
      <c r="C18" t="s">
        <v>16</v>
      </c>
      <c r="D18" t="s">
        <v>17</v>
      </c>
      <c r="E18" t="s">
        <v>16</v>
      </c>
      <c r="F18" s="4">
        <v>2089</v>
      </c>
      <c r="G18" t="s">
        <v>18</v>
      </c>
      <c r="H18" t="s">
        <v>56</v>
      </c>
      <c r="I18" t="s">
        <v>57</v>
      </c>
      <c r="J18" s="3">
        <v>69.900000000000006</v>
      </c>
      <c r="K18" t="s">
        <v>20</v>
      </c>
      <c r="L18" s="1">
        <v>45341</v>
      </c>
      <c r="M18" s="2">
        <v>0.36822916666666666</v>
      </c>
      <c r="N18" t="s">
        <v>21</v>
      </c>
      <c r="O18" t="s">
        <v>22</v>
      </c>
      <c r="P18">
        <f>Zara_data[[#This Row],[Sales Volume]]*Zara_data[[#This Row],[price]]</f>
        <v>146021.1</v>
      </c>
      <c r="Q18">
        <f>Zara_data[[#This Row],[Revenue]]/Zara_data[[#This Row],[Sales Volume]]</f>
        <v>69.900000000000006</v>
      </c>
    </row>
    <row r="19" spans="1:17" x14ac:dyDescent="0.35">
      <c r="A19">
        <v>195879</v>
      </c>
      <c r="B19" t="s">
        <v>35</v>
      </c>
      <c r="C19" t="s">
        <v>26</v>
      </c>
      <c r="D19" t="s">
        <v>17</v>
      </c>
      <c r="E19" t="s">
        <v>26</v>
      </c>
      <c r="F19" s="4">
        <v>2339</v>
      </c>
      <c r="G19" t="s">
        <v>18</v>
      </c>
      <c r="H19" t="s">
        <v>58</v>
      </c>
      <c r="I19" t="s">
        <v>59</v>
      </c>
      <c r="J19" s="3">
        <v>129</v>
      </c>
      <c r="K19" t="s">
        <v>20</v>
      </c>
      <c r="L19" s="1">
        <v>45341</v>
      </c>
      <c r="M19" s="2">
        <v>0.36822916666666666</v>
      </c>
      <c r="N19" t="s">
        <v>21</v>
      </c>
      <c r="O19" t="s">
        <v>22</v>
      </c>
      <c r="P19">
        <f>Zara_data[[#This Row],[Sales Volume]]*Zara_data[[#This Row],[price]]</f>
        <v>301731</v>
      </c>
      <c r="Q19">
        <f>Zara_data[[#This Row],[Revenue]]/Zara_data[[#This Row],[Sales Volume]]</f>
        <v>129</v>
      </c>
    </row>
    <row r="20" spans="1:17" x14ac:dyDescent="0.35">
      <c r="A20">
        <v>155050</v>
      </c>
      <c r="B20" t="s">
        <v>15</v>
      </c>
      <c r="C20" t="s">
        <v>16</v>
      </c>
      <c r="D20" t="s">
        <v>17</v>
      </c>
      <c r="E20" t="s">
        <v>26</v>
      </c>
      <c r="F20" s="4">
        <v>2321</v>
      </c>
      <c r="G20" t="s">
        <v>18</v>
      </c>
      <c r="H20" t="s">
        <v>60</v>
      </c>
      <c r="I20" t="s">
        <v>61</v>
      </c>
      <c r="J20" s="3">
        <v>129</v>
      </c>
      <c r="K20" t="s">
        <v>20</v>
      </c>
      <c r="L20" s="1">
        <v>45341</v>
      </c>
      <c r="M20" s="2">
        <v>0.36824074074074076</v>
      </c>
      <c r="N20" t="s">
        <v>21</v>
      </c>
      <c r="O20" t="s">
        <v>22</v>
      </c>
      <c r="P20">
        <f>Zara_data[[#This Row],[Sales Volume]]*Zara_data[[#This Row],[price]]</f>
        <v>299409</v>
      </c>
      <c r="Q20">
        <f>Zara_data[[#This Row],[Revenue]]/Zara_data[[#This Row],[Sales Volume]]</f>
        <v>129</v>
      </c>
    </row>
    <row r="21" spans="1:17" x14ac:dyDescent="0.35">
      <c r="A21">
        <v>141904</v>
      </c>
      <c r="B21" t="s">
        <v>25</v>
      </c>
      <c r="C21" t="s">
        <v>26</v>
      </c>
      <c r="D21" t="s">
        <v>17</v>
      </c>
      <c r="E21" t="s">
        <v>26</v>
      </c>
      <c r="F21" s="4">
        <v>1712</v>
      </c>
      <c r="G21" t="s">
        <v>18</v>
      </c>
      <c r="H21" t="s">
        <v>62</v>
      </c>
      <c r="I21" t="s">
        <v>63</v>
      </c>
      <c r="J21" s="3">
        <v>109</v>
      </c>
      <c r="K21" t="s">
        <v>20</v>
      </c>
      <c r="L21" s="1">
        <v>45341</v>
      </c>
      <c r="M21" s="2">
        <v>0.3682523148148148</v>
      </c>
      <c r="N21" t="s">
        <v>21</v>
      </c>
      <c r="O21" t="s">
        <v>22</v>
      </c>
      <c r="P21">
        <f>Zara_data[[#This Row],[Sales Volume]]*Zara_data[[#This Row],[price]]</f>
        <v>186608</v>
      </c>
      <c r="Q21">
        <f>Zara_data[[#This Row],[Revenue]]/Zara_data[[#This Row],[Sales Volume]]</f>
        <v>109</v>
      </c>
    </row>
    <row r="22" spans="1:17" x14ac:dyDescent="0.35">
      <c r="A22">
        <v>124981</v>
      </c>
      <c r="B22" t="s">
        <v>35</v>
      </c>
      <c r="C22" t="s">
        <v>16</v>
      </c>
      <c r="D22" t="s">
        <v>17</v>
      </c>
      <c r="E22" t="s">
        <v>26</v>
      </c>
      <c r="F22" s="4">
        <v>1832</v>
      </c>
      <c r="G22" t="s">
        <v>18</v>
      </c>
      <c r="H22" t="s">
        <v>64</v>
      </c>
      <c r="I22" t="s">
        <v>65</v>
      </c>
      <c r="J22" s="3">
        <v>89.9</v>
      </c>
      <c r="K22" t="s">
        <v>20</v>
      </c>
      <c r="L22" s="1">
        <v>45341</v>
      </c>
      <c r="M22" s="2">
        <v>0.36826388888888889</v>
      </c>
      <c r="N22" t="s">
        <v>21</v>
      </c>
      <c r="O22" t="s">
        <v>22</v>
      </c>
      <c r="P22">
        <f>Zara_data[[#This Row],[Sales Volume]]*Zara_data[[#This Row],[price]]</f>
        <v>164696.80000000002</v>
      </c>
      <c r="Q22">
        <f>Zara_data[[#This Row],[Revenue]]/Zara_data[[#This Row],[Sales Volume]]</f>
        <v>89.9</v>
      </c>
    </row>
    <row r="23" spans="1:17" x14ac:dyDescent="0.35">
      <c r="A23">
        <v>161909</v>
      </c>
      <c r="B23" t="s">
        <v>15</v>
      </c>
      <c r="C23" t="s">
        <v>26</v>
      </c>
      <c r="D23" t="s">
        <v>17</v>
      </c>
      <c r="E23" t="s">
        <v>16</v>
      </c>
      <c r="F23" s="4">
        <v>1290</v>
      </c>
      <c r="G23" t="s">
        <v>18</v>
      </c>
      <c r="H23" t="s">
        <v>66</v>
      </c>
      <c r="I23" t="s">
        <v>67</v>
      </c>
      <c r="J23" s="3">
        <v>299</v>
      </c>
      <c r="K23" t="s">
        <v>20</v>
      </c>
      <c r="L23" s="1">
        <v>45341</v>
      </c>
      <c r="M23" s="2">
        <v>0.36826388888888889</v>
      </c>
      <c r="N23" t="s">
        <v>21</v>
      </c>
      <c r="O23" t="s">
        <v>22</v>
      </c>
      <c r="P23">
        <f>Zara_data[[#This Row],[Sales Volume]]*Zara_data[[#This Row],[price]]</f>
        <v>385710</v>
      </c>
      <c r="Q23">
        <f>Zara_data[[#This Row],[Revenue]]/Zara_data[[#This Row],[Sales Volume]]</f>
        <v>299</v>
      </c>
    </row>
    <row r="24" spans="1:17" x14ac:dyDescent="0.35">
      <c r="A24">
        <v>129152</v>
      </c>
      <c r="B24" t="s">
        <v>25</v>
      </c>
      <c r="C24" t="s">
        <v>16</v>
      </c>
      <c r="D24" t="s">
        <v>17</v>
      </c>
      <c r="E24" t="s">
        <v>16</v>
      </c>
      <c r="F24" s="4">
        <v>2356</v>
      </c>
      <c r="G24" t="s">
        <v>18</v>
      </c>
      <c r="H24" t="s">
        <v>68</v>
      </c>
      <c r="I24" t="s">
        <v>69</v>
      </c>
      <c r="J24" s="3">
        <v>49.9</v>
      </c>
      <c r="K24" t="s">
        <v>20</v>
      </c>
      <c r="L24" s="1">
        <v>45341</v>
      </c>
      <c r="M24" s="2">
        <v>0.36827546296296299</v>
      </c>
      <c r="N24" t="s">
        <v>21</v>
      </c>
      <c r="O24" t="s">
        <v>22</v>
      </c>
      <c r="P24">
        <f>Zara_data[[#This Row],[Sales Volume]]*Zara_data[[#This Row],[price]]</f>
        <v>117564.4</v>
      </c>
      <c r="Q24">
        <f>Zara_data[[#This Row],[Revenue]]/Zara_data[[#This Row],[Sales Volume]]</f>
        <v>49.9</v>
      </c>
    </row>
    <row r="25" spans="1:17" x14ac:dyDescent="0.35">
      <c r="A25">
        <v>183243</v>
      </c>
      <c r="B25" t="s">
        <v>35</v>
      </c>
      <c r="C25" t="s">
        <v>26</v>
      </c>
      <c r="D25" t="s">
        <v>17</v>
      </c>
      <c r="E25" t="s">
        <v>16</v>
      </c>
      <c r="F25" s="4">
        <v>1524</v>
      </c>
      <c r="G25" t="s">
        <v>18</v>
      </c>
      <c r="H25" t="s">
        <v>70</v>
      </c>
      <c r="I25" t="s">
        <v>71</v>
      </c>
      <c r="J25" s="3">
        <v>169</v>
      </c>
      <c r="K25" t="s">
        <v>20</v>
      </c>
      <c r="L25" s="1">
        <v>45341</v>
      </c>
      <c r="M25" s="2">
        <v>0.36827546296296299</v>
      </c>
      <c r="N25" t="s">
        <v>21</v>
      </c>
      <c r="O25" t="s">
        <v>22</v>
      </c>
      <c r="P25">
        <f>Zara_data[[#This Row],[Sales Volume]]*Zara_data[[#This Row],[price]]</f>
        <v>257556</v>
      </c>
      <c r="Q25">
        <f>Zara_data[[#This Row],[Revenue]]/Zara_data[[#This Row],[Sales Volume]]</f>
        <v>169</v>
      </c>
    </row>
    <row r="26" spans="1:17" x14ac:dyDescent="0.35">
      <c r="A26">
        <v>198248</v>
      </c>
      <c r="B26" t="s">
        <v>35</v>
      </c>
      <c r="C26" t="s">
        <v>26</v>
      </c>
      <c r="D26" t="s">
        <v>17</v>
      </c>
      <c r="E26" t="s">
        <v>16</v>
      </c>
      <c r="F26" s="4">
        <v>1644</v>
      </c>
      <c r="G26" t="s">
        <v>18</v>
      </c>
      <c r="H26" t="s">
        <v>72</v>
      </c>
      <c r="I26" t="s">
        <v>73</v>
      </c>
      <c r="J26" s="3">
        <v>69.900000000000006</v>
      </c>
      <c r="K26" t="s">
        <v>20</v>
      </c>
      <c r="L26" s="1">
        <v>45341</v>
      </c>
      <c r="M26" s="2">
        <v>0.36828703703703702</v>
      </c>
      <c r="N26" t="s">
        <v>21</v>
      </c>
      <c r="O26" t="s">
        <v>22</v>
      </c>
      <c r="P26">
        <f>Zara_data[[#This Row],[Sales Volume]]*Zara_data[[#This Row],[price]]</f>
        <v>114915.6</v>
      </c>
      <c r="Q26">
        <f>Zara_data[[#This Row],[Revenue]]/Zara_data[[#This Row],[Sales Volume]]</f>
        <v>69.900000000000006</v>
      </c>
    </row>
    <row r="27" spans="1:17" x14ac:dyDescent="0.35">
      <c r="A27">
        <v>191230</v>
      </c>
      <c r="B27" t="s">
        <v>25</v>
      </c>
      <c r="C27" t="s">
        <v>16</v>
      </c>
      <c r="D27" t="s">
        <v>17</v>
      </c>
      <c r="E27" t="s">
        <v>16</v>
      </c>
      <c r="F27" s="4">
        <v>966</v>
      </c>
      <c r="G27" t="s">
        <v>18</v>
      </c>
      <c r="H27" t="s">
        <v>74</v>
      </c>
      <c r="I27" t="s">
        <v>75</v>
      </c>
      <c r="J27" s="3">
        <v>89.9</v>
      </c>
      <c r="K27" t="s">
        <v>20</v>
      </c>
      <c r="L27" s="1">
        <v>45341</v>
      </c>
      <c r="M27" s="2">
        <v>0.36828703703703702</v>
      </c>
      <c r="N27" t="s">
        <v>21</v>
      </c>
      <c r="O27" t="s">
        <v>22</v>
      </c>
      <c r="P27">
        <f>Zara_data[[#This Row],[Sales Volume]]*Zara_data[[#This Row],[price]]</f>
        <v>86843.400000000009</v>
      </c>
      <c r="Q27">
        <f>Zara_data[[#This Row],[Revenue]]/Zara_data[[#This Row],[Sales Volume]]</f>
        <v>89.9</v>
      </c>
    </row>
    <row r="28" spans="1:17" x14ac:dyDescent="0.35">
      <c r="A28">
        <v>187234</v>
      </c>
      <c r="B28" t="s">
        <v>35</v>
      </c>
      <c r="C28" t="s">
        <v>26</v>
      </c>
      <c r="D28" t="s">
        <v>17</v>
      </c>
      <c r="E28" t="s">
        <v>26</v>
      </c>
      <c r="F28" s="4">
        <v>2575</v>
      </c>
      <c r="G28" t="s">
        <v>18</v>
      </c>
      <c r="H28" t="s">
        <v>76</v>
      </c>
      <c r="I28" t="s">
        <v>77</v>
      </c>
      <c r="J28" s="3">
        <v>59.9</v>
      </c>
      <c r="K28" t="s">
        <v>20</v>
      </c>
      <c r="L28" s="1">
        <v>45341</v>
      </c>
      <c r="M28" s="2">
        <v>0.36829861111111112</v>
      </c>
      <c r="N28" t="s">
        <v>21</v>
      </c>
      <c r="O28" t="s">
        <v>22</v>
      </c>
      <c r="P28">
        <f>Zara_data[[#This Row],[Sales Volume]]*Zara_data[[#This Row],[price]]</f>
        <v>154242.5</v>
      </c>
      <c r="Q28">
        <f>Zara_data[[#This Row],[Revenue]]/Zara_data[[#This Row],[Sales Volume]]</f>
        <v>59.9</v>
      </c>
    </row>
    <row r="29" spans="1:17" x14ac:dyDescent="0.35">
      <c r="A29">
        <v>148888</v>
      </c>
      <c r="B29" t="s">
        <v>35</v>
      </c>
      <c r="C29" t="s">
        <v>16</v>
      </c>
      <c r="D29" t="s">
        <v>17</v>
      </c>
      <c r="E29" t="s">
        <v>16</v>
      </c>
      <c r="F29" s="4">
        <v>2774</v>
      </c>
      <c r="G29" t="s">
        <v>18</v>
      </c>
      <c r="H29" t="s">
        <v>78</v>
      </c>
      <c r="I29" t="s">
        <v>79</v>
      </c>
      <c r="J29" s="3">
        <v>109</v>
      </c>
      <c r="K29" t="s">
        <v>20</v>
      </c>
      <c r="L29" s="1">
        <v>45341</v>
      </c>
      <c r="M29" s="2">
        <v>0.36831018518518521</v>
      </c>
      <c r="N29" t="s">
        <v>21</v>
      </c>
      <c r="O29" t="s">
        <v>22</v>
      </c>
      <c r="P29">
        <f>Zara_data[[#This Row],[Sales Volume]]*Zara_data[[#This Row],[price]]</f>
        <v>302366</v>
      </c>
      <c r="Q29">
        <f>Zara_data[[#This Row],[Revenue]]/Zara_data[[#This Row],[Sales Volume]]</f>
        <v>109</v>
      </c>
    </row>
    <row r="30" spans="1:17" x14ac:dyDescent="0.35">
      <c r="A30">
        <v>110805</v>
      </c>
      <c r="B30" t="s">
        <v>35</v>
      </c>
      <c r="C30" t="s">
        <v>26</v>
      </c>
      <c r="D30" t="s">
        <v>17</v>
      </c>
      <c r="E30" t="s">
        <v>16</v>
      </c>
      <c r="F30" s="4">
        <v>2477</v>
      </c>
      <c r="G30" t="s">
        <v>18</v>
      </c>
      <c r="H30" t="s">
        <v>80</v>
      </c>
      <c r="I30" t="s">
        <v>81</v>
      </c>
      <c r="J30" s="3">
        <v>159</v>
      </c>
      <c r="K30" t="s">
        <v>20</v>
      </c>
      <c r="L30" s="1">
        <v>45341</v>
      </c>
      <c r="M30" s="2">
        <v>0.36831018518518521</v>
      </c>
      <c r="N30" t="s">
        <v>21</v>
      </c>
      <c r="O30" t="s">
        <v>22</v>
      </c>
      <c r="P30">
        <f>Zara_data[[#This Row],[Sales Volume]]*Zara_data[[#This Row],[price]]</f>
        <v>393843</v>
      </c>
      <c r="Q30">
        <f>Zara_data[[#This Row],[Revenue]]/Zara_data[[#This Row],[Sales Volume]]</f>
        <v>159</v>
      </c>
    </row>
    <row r="31" spans="1:17" x14ac:dyDescent="0.35">
      <c r="A31">
        <v>179801</v>
      </c>
      <c r="B31" t="s">
        <v>35</v>
      </c>
      <c r="C31" t="s">
        <v>16</v>
      </c>
      <c r="D31" t="s">
        <v>17</v>
      </c>
      <c r="E31" t="s">
        <v>26</v>
      </c>
      <c r="F31" s="4">
        <v>2608</v>
      </c>
      <c r="G31" t="s">
        <v>18</v>
      </c>
      <c r="H31" t="s">
        <v>82</v>
      </c>
      <c r="I31" t="s">
        <v>83</v>
      </c>
      <c r="J31" s="3">
        <v>129</v>
      </c>
      <c r="K31" t="s">
        <v>20</v>
      </c>
      <c r="L31" s="1">
        <v>45341</v>
      </c>
      <c r="M31" s="2">
        <v>0.36832175925925925</v>
      </c>
      <c r="N31" t="s">
        <v>21</v>
      </c>
      <c r="O31" t="s">
        <v>22</v>
      </c>
      <c r="P31">
        <f>Zara_data[[#This Row],[Sales Volume]]*Zara_data[[#This Row],[price]]</f>
        <v>336432</v>
      </c>
      <c r="Q31">
        <f>Zara_data[[#This Row],[Revenue]]/Zara_data[[#This Row],[Sales Volume]]</f>
        <v>129</v>
      </c>
    </row>
    <row r="32" spans="1:17" x14ac:dyDescent="0.35">
      <c r="A32">
        <v>123150</v>
      </c>
      <c r="B32" t="s">
        <v>25</v>
      </c>
      <c r="C32" t="s">
        <v>26</v>
      </c>
      <c r="D32" t="s">
        <v>17</v>
      </c>
      <c r="E32" t="s">
        <v>16</v>
      </c>
      <c r="F32" s="4">
        <v>2074</v>
      </c>
      <c r="G32" t="s">
        <v>18</v>
      </c>
      <c r="H32" t="s">
        <v>84</v>
      </c>
      <c r="I32" t="s">
        <v>85</v>
      </c>
      <c r="J32" s="3">
        <v>129</v>
      </c>
      <c r="K32" t="s">
        <v>20</v>
      </c>
      <c r="L32" s="1">
        <v>45341</v>
      </c>
      <c r="M32" s="2">
        <v>0.36833333333333335</v>
      </c>
      <c r="N32" t="s">
        <v>21</v>
      </c>
      <c r="O32" t="s">
        <v>22</v>
      </c>
      <c r="P32">
        <f>Zara_data[[#This Row],[Sales Volume]]*Zara_data[[#This Row],[price]]</f>
        <v>267546</v>
      </c>
      <c r="Q32">
        <f>Zara_data[[#This Row],[Revenue]]/Zara_data[[#This Row],[Sales Volume]]</f>
        <v>129</v>
      </c>
    </row>
    <row r="33" spans="1:17" x14ac:dyDescent="0.35">
      <c r="A33">
        <v>178281</v>
      </c>
      <c r="B33" t="s">
        <v>25</v>
      </c>
      <c r="C33" t="s">
        <v>16</v>
      </c>
      <c r="D33" t="s">
        <v>17</v>
      </c>
      <c r="E33" t="s">
        <v>26</v>
      </c>
      <c r="F33" s="4">
        <v>1145</v>
      </c>
      <c r="G33" t="s">
        <v>18</v>
      </c>
      <c r="H33" t="s">
        <v>86</v>
      </c>
      <c r="I33" t="s">
        <v>87</v>
      </c>
      <c r="J33" s="3">
        <v>109</v>
      </c>
      <c r="K33" t="s">
        <v>20</v>
      </c>
      <c r="L33" s="1">
        <v>45341</v>
      </c>
      <c r="M33" s="2">
        <v>0.36836805555555557</v>
      </c>
      <c r="N33" t="s">
        <v>21</v>
      </c>
      <c r="O33" t="s">
        <v>22</v>
      </c>
      <c r="P33">
        <f>Zara_data[[#This Row],[Sales Volume]]*Zara_data[[#This Row],[price]]</f>
        <v>124805</v>
      </c>
      <c r="Q33">
        <f>Zara_data[[#This Row],[Revenue]]/Zara_data[[#This Row],[Sales Volume]]</f>
        <v>109</v>
      </c>
    </row>
    <row r="34" spans="1:17" x14ac:dyDescent="0.35">
      <c r="A34">
        <v>194339</v>
      </c>
      <c r="B34" t="s">
        <v>25</v>
      </c>
      <c r="C34" t="s">
        <v>16</v>
      </c>
      <c r="D34" t="s">
        <v>17</v>
      </c>
      <c r="E34" t="s">
        <v>16</v>
      </c>
      <c r="F34" s="4">
        <v>1792</v>
      </c>
      <c r="G34" t="s">
        <v>18</v>
      </c>
      <c r="H34" t="s">
        <v>88</v>
      </c>
      <c r="I34" t="s">
        <v>89</v>
      </c>
      <c r="J34" s="3">
        <v>89.9</v>
      </c>
      <c r="K34" t="s">
        <v>20</v>
      </c>
      <c r="L34" s="1">
        <v>45341</v>
      </c>
      <c r="M34" s="2">
        <v>0.36837962962962961</v>
      </c>
      <c r="N34" t="s">
        <v>21</v>
      </c>
      <c r="O34" t="s">
        <v>22</v>
      </c>
      <c r="P34">
        <f>Zara_data[[#This Row],[Sales Volume]]*Zara_data[[#This Row],[price]]</f>
        <v>161100.80000000002</v>
      </c>
      <c r="Q34">
        <f>Zara_data[[#This Row],[Revenue]]/Zara_data[[#This Row],[Sales Volume]]</f>
        <v>89.9</v>
      </c>
    </row>
    <row r="35" spans="1:17" x14ac:dyDescent="0.35">
      <c r="A35">
        <v>114877</v>
      </c>
      <c r="B35" t="s">
        <v>15</v>
      </c>
      <c r="C35" t="s">
        <v>16</v>
      </c>
      <c r="D35" t="s">
        <v>17</v>
      </c>
      <c r="E35" t="s">
        <v>16</v>
      </c>
      <c r="F35" s="4">
        <v>1860</v>
      </c>
      <c r="G35" t="s">
        <v>18</v>
      </c>
      <c r="H35" t="s">
        <v>90</v>
      </c>
      <c r="I35" t="s">
        <v>91</v>
      </c>
      <c r="J35" s="3">
        <v>349</v>
      </c>
      <c r="K35" t="s">
        <v>20</v>
      </c>
      <c r="L35" s="1">
        <v>45341</v>
      </c>
      <c r="M35" s="2">
        <v>0.36839120370370371</v>
      </c>
      <c r="N35" t="s">
        <v>21</v>
      </c>
      <c r="O35" t="s">
        <v>22</v>
      </c>
      <c r="P35">
        <f>Zara_data[[#This Row],[Sales Volume]]*Zara_data[[#This Row],[price]]</f>
        <v>649140</v>
      </c>
      <c r="Q35">
        <f>Zara_data[[#This Row],[Revenue]]/Zara_data[[#This Row],[Sales Volume]]</f>
        <v>349</v>
      </c>
    </row>
    <row r="36" spans="1:17" x14ac:dyDescent="0.35">
      <c r="A36">
        <v>133109</v>
      </c>
      <c r="B36" t="s">
        <v>35</v>
      </c>
      <c r="C36" t="s">
        <v>16</v>
      </c>
      <c r="D36" t="s">
        <v>17</v>
      </c>
      <c r="E36" t="s">
        <v>26</v>
      </c>
      <c r="F36" s="4">
        <v>2063</v>
      </c>
      <c r="G36" t="s">
        <v>18</v>
      </c>
      <c r="H36" t="s">
        <v>92</v>
      </c>
      <c r="I36" t="s">
        <v>93</v>
      </c>
      <c r="J36" s="3">
        <v>79.900000000000006</v>
      </c>
      <c r="K36" t="s">
        <v>20</v>
      </c>
      <c r="L36" s="1">
        <v>45341</v>
      </c>
      <c r="M36" s="2">
        <v>0.36841435185185184</v>
      </c>
      <c r="N36" t="s">
        <v>21</v>
      </c>
      <c r="O36" t="s">
        <v>22</v>
      </c>
      <c r="P36">
        <f>Zara_data[[#This Row],[Sales Volume]]*Zara_data[[#This Row],[price]]</f>
        <v>164833.70000000001</v>
      </c>
      <c r="Q36">
        <f>Zara_data[[#This Row],[Revenue]]/Zara_data[[#This Row],[Sales Volume]]</f>
        <v>79.900000000000006</v>
      </c>
    </row>
    <row r="37" spans="1:17" x14ac:dyDescent="0.35">
      <c r="A37">
        <v>127296</v>
      </c>
      <c r="B37" t="s">
        <v>15</v>
      </c>
      <c r="C37" t="s">
        <v>16</v>
      </c>
      <c r="D37" t="s">
        <v>17</v>
      </c>
      <c r="E37" t="s">
        <v>16</v>
      </c>
      <c r="F37" s="4">
        <v>1165</v>
      </c>
      <c r="G37" t="s">
        <v>18</v>
      </c>
      <c r="H37" t="s">
        <v>94</v>
      </c>
      <c r="I37" t="s">
        <v>95</v>
      </c>
      <c r="J37" s="3">
        <v>89.9</v>
      </c>
      <c r="K37" t="s">
        <v>20</v>
      </c>
      <c r="L37" s="1">
        <v>45341</v>
      </c>
      <c r="M37" s="2">
        <v>0.36842592592592593</v>
      </c>
      <c r="N37" t="s">
        <v>21</v>
      </c>
      <c r="O37" t="s">
        <v>22</v>
      </c>
      <c r="P37">
        <f>Zara_data[[#This Row],[Sales Volume]]*Zara_data[[#This Row],[price]]</f>
        <v>104733.5</v>
      </c>
      <c r="Q37">
        <f>Zara_data[[#This Row],[Revenue]]/Zara_data[[#This Row],[Sales Volume]]</f>
        <v>89.9</v>
      </c>
    </row>
    <row r="38" spans="1:17" x14ac:dyDescent="0.35">
      <c r="A38">
        <v>133757</v>
      </c>
      <c r="B38" t="s">
        <v>15</v>
      </c>
      <c r="C38" t="s">
        <v>26</v>
      </c>
      <c r="D38" t="s">
        <v>17</v>
      </c>
      <c r="E38" t="s">
        <v>16</v>
      </c>
      <c r="F38" s="4">
        <v>2071</v>
      </c>
      <c r="G38" t="s">
        <v>18</v>
      </c>
      <c r="H38" t="s">
        <v>96</v>
      </c>
      <c r="I38" t="s">
        <v>97</v>
      </c>
      <c r="J38" s="3">
        <v>129</v>
      </c>
      <c r="K38" t="s">
        <v>20</v>
      </c>
      <c r="L38" s="1">
        <v>45341</v>
      </c>
      <c r="M38" s="2">
        <v>0.36842592592592593</v>
      </c>
      <c r="N38" t="s">
        <v>21</v>
      </c>
      <c r="O38" t="s">
        <v>22</v>
      </c>
      <c r="P38">
        <f>Zara_data[[#This Row],[Sales Volume]]*Zara_data[[#This Row],[price]]</f>
        <v>267159</v>
      </c>
      <c r="Q38">
        <f>Zara_data[[#This Row],[Revenue]]/Zara_data[[#This Row],[Sales Volume]]</f>
        <v>129</v>
      </c>
    </row>
    <row r="39" spans="1:17" x14ac:dyDescent="0.35">
      <c r="A39">
        <v>111760</v>
      </c>
      <c r="B39" t="s">
        <v>25</v>
      </c>
      <c r="C39" t="s">
        <v>16</v>
      </c>
      <c r="D39" t="s">
        <v>17</v>
      </c>
      <c r="E39" t="s">
        <v>16</v>
      </c>
      <c r="F39" s="4">
        <v>1474</v>
      </c>
      <c r="G39" t="s">
        <v>18</v>
      </c>
      <c r="H39" t="s">
        <v>98</v>
      </c>
      <c r="I39" t="s">
        <v>99</v>
      </c>
      <c r="J39" s="3">
        <v>109</v>
      </c>
      <c r="K39" t="s">
        <v>20</v>
      </c>
      <c r="L39" s="1">
        <v>45341</v>
      </c>
      <c r="M39" s="2">
        <v>0.36843749999999997</v>
      </c>
      <c r="N39" t="s">
        <v>21</v>
      </c>
      <c r="O39" t="s">
        <v>22</v>
      </c>
      <c r="P39">
        <f>Zara_data[[#This Row],[Sales Volume]]*Zara_data[[#This Row],[price]]</f>
        <v>160666</v>
      </c>
      <c r="Q39">
        <f>Zara_data[[#This Row],[Revenue]]/Zara_data[[#This Row],[Sales Volume]]</f>
        <v>109</v>
      </c>
    </row>
    <row r="40" spans="1:17" x14ac:dyDescent="0.35">
      <c r="A40">
        <v>138505</v>
      </c>
      <c r="B40" t="s">
        <v>35</v>
      </c>
      <c r="C40" t="s">
        <v>16</v>
      </c>
      <c r="D40" t="s">
        <v>17</v>
      </c>
      <c r="E40" t="s">
        <v>16</v>
      </c>
      <c r="F40" s="4">
        <v>2478</v>
      </c>
      <c r="G40" t="s">
        <v>18</v>
      </c>
      <c r="H40" t="s">
        <v>100</v>
      </c>
      <c r="I40" t="s">
        <v>101</v>
      </c>
      <c r="J40" s="3">
        <v>69.900000000000006</v>
      </c>
      <c r="K40" t="s">
        <v>20</v>
      </c>
      <c r="L40" s="1">
        <v>45341</v>
      </c>
      <c r="M40" s="2">
        <v>0.36846064814814816</v>
      </c>
      <c r="N40" t="s">
        <v>21</v>
      </c>
      <c r="O40" t="s">
        <v>22</v>
      </c>
      <c r="P40">
        <f>Zara_data[[#This Row],[Sales Volume]]*Zara_data[[#This Row],[price]]</f>
        <v>173212.2</v>
      </c>
      <c r="Q40">
        <f>Zara_data[[#This Row],[Revenue]]/Zara_data[[#This Row],[Sales Volume]]</f>
        <v>69.900000000000006</v>
      </c>
    </row>
    <row r="41" spans="1:17" x14ac:dyDescent="0.35">
      <c r="A41">
        <v>116228</v>
      </c>
      <c r="B41" t="s">
        <v>25</v>
      </c>
      <c r="C41" t="s">
        <v>26</v>
      </c>
      <c r="D41" t="s">
        <v>17</v>
      </c>
      <c r="E41" t="s">
        <v>16</v>
      </c>
      <c r="F41" s="4">
        <v>647</v>
      </c>
      <c r="G41" t="s">
        <v>18</v>
      </c>
      <c r="H41" t="s">
        <v>102</v>
      </c>
      <c r="I41" t="s">
        <v>103</v>
      </c>
      <c r="J41" s="3">
        <v>89.9</v>
      </c>
      <c r="K41" t="s">
        <v>20</v>
      </c>
      <c r="L41" s="1">
        <v>45341</v>
      </c>
      <c r="M41" s="2">
        <v>0.36846064814814816</v>
      </c>
      <c r="N41" t="s">
        <v>21</v>
      </c>
      <c r="O41" t="s">
        <v>22</v>
      </c>
      <c r="P41">
        <f>Zara_data[[#This Row],[Sales Volume]]*Zara_data[[#This Row],[price]]</f>
        <v>58165.3</v>
      </c>
      <c r="Q41">
        <f>Zara_data[[#This Row],[Revenue]]/Zara_data[[#This Row],[Sales Volume]]</f>
        <v>89.9</v>
      </c>
    </row>
    <row r="42" spans="1:17" x14ac:dyDescent="0.35">
      <c r="A42">
        <v>167592</v>
      </c>
      <c r="B42" t="s">
        <v>35</v>
      </c>
      <c r="C42" t="s">
        <v>26</v>
      </c>
      <c r="D42" t="s">
        <v>17</v>
      </c>
      <c r="E42" t="s">
        <v>16</v>
      </c>
      <c r="F42" s="4">
        <v>707</v>
      </c>
      <c r="G42" t="s">
        <v>18</v>
      </c>
      <c r="H42" t="s">
        <v>104</v>
      </c>
      <c r="I42" t="s">
        <v>105</v>
      </c>
      <c r="J42" s="3">
        <v>89.9</v>
      </c>
      <c r="K42" t="s">
        <v>20</v>
      </c>
      <c r="L42" s="1">
        <v>45341</v>
      </c>
      <c r="M42" s="2">
        <v>0.3684722222222222</v>
      </c>
      <c r="N42" t="s">
        <v>21</v>
      </c>
      <c r="O42" t="s">
        <v>22</v>
      </c>
      <c r="P42">
        <f>Zara_data[[#This Row],[Sales Volume]]*Zara_data[[#This Row],[price]]</f>
        <v>63559.3</v>
      </c>
      <c r="Q42">
        <f>Zara_data[[#This Row],[Revenue]]/Zara_data[[#This Row],[Sales Volume]]</f>
        <v>89.9</v>
      </c>
    </row>
    <row r="43" spans="1:17" x14ac:dyDescent="0.35">
      <c r="A43">
        <v>133100</v>
      </c>
      <c r="B43" t="s">
        <v>25</v>
      </c>
      <c r="C43" t="s">
        <v>26</v>
      </c>
      <c r="D43" t="s">
        <v>17</v>
      </c>
      <c r="E43" t="s">
        <v>16</v>
      </c>
      <c r="F43" s="4">
        <v>2729</v>
      </c>
      <c r="G43" t="s">
        <v>18</v>
      </c>
      <c r="H43" t="s">
        <v>106</v>
      </c>
      <c r="I43" t="s">
        <v>107</v>
      </c>
      <c r="J43" s="3">
        <v>89.9</v>
      </c>
      <c r="K43" t="s">
        <v>20</v>
      </c>
      <c r="L43" s="1">
        <v>45341</v>
      </c>
      <c r="M43" s="2">
        <v>0.3684837962962963</v>
      </c>
      <c r="N43" t="s">
        <v>21</v>
      </c>
      <c r="O43" t="s">
        <v>22</v>
      </c>
      <c r="P43">
        <f>Zara_data[[#This Row],[Sales Volume]]*Zara_data[[#This Row],[price]]</f>
        <v>245337.1</v>
      </c>
      <c r="Q43">
        <f>Zara_data[[#This Row],[Revenue]]/Zara_data[[#This Row],[Sales Volume]]</f>
        <v>89.9</v>
      </c>
    </row>
    <row r="44" spans="1:17" x14ac:dyDescent="0.35">
      <c r="A44">
        <v>189349</v>
      </c>
      <c r="B44" t="s">
        <v>25</v>
      </c>
      <c r="C44" t="s">
        <v>26</v>
      </c>
      <c r="D44" t="s">
        <v>17</v>
      </c>
      <c r="E44" t="s">
        <v>16</v>
      </c>
      <c r="F44" s="4">
        <v>1245</v>
      </c>
      <c r="G44" t="s">
        <v>18</v>
      </c>
      <c r="H44" t="s">
        <v>108</v>
      </c>
      <c r="I44" t="s">
        <v>109</v>
      </c>
      <c r="J44" s="3">
        <v>89.9</v>
      </c>
      <c r="K44" t="s">
        <v>20</v>
      </c>
      <c r="L44" s="1">
        <v>45341</v>
      </c>
      <c r="M44" s="2">
        <v>0.36849537037037039</v>
      </c>
      <c r="N44" t="s">
        <v>21</v>
      </c>
      <c r="O44" t="s">
        <v>22</v>
      </c>
      <c r="P44">
        <f>Zara_data[[#This Row],[Sales Volume]]*Zara_data[[#This Row],[price]]</f>
        <v>111925.5</v>
      </c>
      <c r="Q44">
        <f>Zara_data[[#This Row],[Revenue]]/Zara_data[[#This Row],[Sales Volume]]</f>
        <v>89.9</v>
      </c>
    </row>
    <row r="45" spans="1:17" x14ac:dyDescent="0.35">
      <c r="A45">
        <v>127478</v>
      </c>
      <c r="B45" t="s">
        <v>35</v>
      </c>
      <c r="C45" t="s">
        <v>16</v>
      </c>
      <c r="D45" t="s">
        <v>17</v>
      </c>
      <c r="E45" t="s">
        <v>26</v>
      </c>
      <c r="F45" s="4">
        <v>2498</v>
      </c>
      <c r="G45" t="s">
        <v>18</v>
      </c>
      <c r="H45" t="s">
        <v>110</v>
      </c>
      <c r="I45" t="s">
        <v>111</v>
      </c>
      <c r="J45" s="3">
        <v>129</v>
      </c>
      <c r="K45" t="s">
        <v>20</v>
      </c>
      <c r="L45" s="1">
        <v>45341</v>
      </c>
      <c r="M45" s="2">
        <v>0.36850694444444443</v>
      </c>
      <c r="N45" t="s">
        <v>21</v>
      </c>
      <c r="O45" t="s">
        <v>22</v>
      </c>
      <c r="P45">
        <f>Zara_data[[#This Row],[Sales Volume]]*Zara_data[[#This Row],[price]]</f>
        <v>322242</v>
      </c>
      <c r="Q45">
        <f>Zara_data[[#This Row],[Revenue]]/Zara_data[[#This Row],[Sales Volume]]</f>
        <v>129</v>
      </c>
    </row>
    <row r="46" spans="1:17" x14ac:dyDescent="0.35">
      <c r="A46">
        <v>180661</v>
      </c>
      <c r="B46" t="s">
        <v>35</v>
      </c>
      <c r="C46" t="s">
        <v>16</v>
      </c>
      <c r="D46" t="s">
        <v>17</v>
      </c>
      <c r="E46" t="s">
        <v>26</v>
      </c>
      <c r="F46" s="4">
        <v>1041</v>
      </c>
      <c r="G46" t="s">
        <v>18</v>
      </c>
      <c r="H46" t="s">
        <v>112</v>
      </c>
      <c r="I46" t="s">
        <v>113</v>
      </c>
      <c r="J46" s="3">
        <v>129</v>
      </c>
      <c r="K46" t="s">
        <v>20</v>
      </c>
      <c r="L46" s="1">
        <v>45341</v>
      </c>
      <c r="M46" s="2">
        <v>0.36850694444444443</v>
      </c>
      <c r="N46" t="s">
        <v>21</v>
      </c>
      <c r="O46" t="s">
        <v>22</v>
      </c>
      <c r="P46">
        <f>Zara_data[[#This Row],[Sales Volume]]*Zara_data[[#This Row],[price]]</f>
        <v>134289</v>
      </c>
      <c r="Q46">
        <f>Zara_data[[#This Row],[Revenue]]/Zara_data[[#This Row],[Sales Volume]]</f>
        <v>129</v>
      </c>
    </row>
    <row r="47" spans="1:17" x14ac:dyDescent="0.35">
      <c r="A47">
        <v>186681</v>
      </c>
      <c r="B47" t="s">
        <v>25</v>
      </c>
      <c r="C47" t="s">
        <v>16</v>
      </c>
      <c r="D47" t="s">
        <v>17</v>
      </c>
      <c r="E47" t="s">
        <v>26</v>
      </c>
      <c r="F47" s="4">
        <v>1717</v>
      </c>
      <c r="G47" t="s">
        <v>18</v>
      </c>
      <c r="H47" t="s">
        <v>114</v>
      </c>
      <c r="I47" t="s">
        <v>115</v>
      </c>
      <c r="J47" s="3">
        <v>19.989999999999998</v>
      </c>
      <c r="K47" t="s">
        <v>20</v>
      </c>
      <c r="L47" s="1">
        <v>45341</v>
      </c>
      <c r="M47" s="2">
        <v>0.36851851851851852</v>
      </c>
      <c r="N47" t="s">
        <v>21</v>
      </c>
      <c r="O47" t="s">
        <v>22</v>
      </c>
      <c r="P47">
        <f>Zara_data[[#This Row],[Sales Volume]]*Zara_data[[#This Row],[price]]</f>
        <v>34322.829999999994</v>
      </c>
      <c r="Q47">
        <f>Zara_data[[#This Row],[Revenue]]/Zara_data[[#This Row],[Sales Volume]]</f>
        <v>19.989999999999998</v>
      </c>
    </row>
    <row r="48" spans="1:17" x14ac:dyDescent="0.35">
      <c r="A48">
        <v>133183</v>
      </c>
      <c r="B48" t="s">
        <v>35</v>
      </c>
      <c r="C48" t="s">
        <v>26</v>
      </c>
      <c r="D48" t="s">
        <v>17</v>
      </c>
      <c r="E48" t="s">
        <v>26</v>
      </c>
      <c r="F48" s="4">
        <v>2859</v>
      </c>
      <c r="G48" t="s">
        <v>18</v>
      </c>
      <c r="H48" t="s">
        <v>116</v>
      </c>
      <c r="I48" t="s">
        <v>117</v>
      </c>
      <c r="J48" s="3">
        <v>89.9</v>
      </c>
      <c r="K48" t="s">
        <v>20</v>
      </c>
      <c r="L48" s="1">
        <v>45341</v>
      </c>
      <c r="M48" s="2">
        <v>0.36851851851851852</v>
      </c>
      <c r="N48" t="s">
        <v>21</v>
      </c>
      <c r="O48" t="s">
        <v>22</v>
      </c>
      <c r="P48">
        <f>Zara_data[[#This Row],[Sales Volume]]*Zara_data[[#This Row],[price]]</f>
        <v>257024.1</v>
      </c>
      <c r="Q48">
        <f>Zara_data[[#This Row],[Revenue]]/Zara_data[[#This Row],[Sales Volume]]</f>
        <v>89.9</v>
      </c>
    </row>
    <row r="49" spans="1:17" x14ac:dyDescent="0.35">
      <c r="A49">
        <v>173508</v>
      </c>
      <c r="B49" t="s">
        <v>15</v>
      </c>
      <c r="C49" t="s">
        <v>26</v>
      </c>
      <c r="D49" t="s">
        <v>17</v>
      </c>
      <c r="E49" t="s">
        <v>16</v>
      </c>
      <c r="F49" s="4">
        <v>1658</v>
      </c>
      <c r="G49" t="s">
        <v>18</v>
      </c>
      <c r="H49" t="s">
        <v>118</v>
      </c>
      <c r="I49" t="s">
        <v>119</v>
      </c>
      <c r="J49" s="3">
        <v>129</v>
      </c>
      <c r="K49" t="s">
        <v>20</v>
      </c>
      <c r="L49" s="1">
        <v>45341</v>
      </c>
      <c r="M49" s="2">
        <v>0.36853009259259262</v>
      </c>
      <c r="N49" t="s">
        <v>21</v>
      </c>
      <c r="O49" t="s">
        <v>22</v>
      </c>
      <c r="P49">
        <f>Zara_data[[#This Row],[Sales Volume]]*Zara_data[[#This Row],[price]]</f>
        <v>213882</v>
      </c>
      <c r="Q49">
        <f>Zara_data[[#This Row],[Revenue]]/Zara_data[[#This Row],[Sales Volume]]</f>
        <v>129</v>
      </c>
    </row>
    <row r="50" spans="1:17" x14ac:dyDescent="0.35">
      <c r="A50">
        <v>187930</v>
      </c>
      <c r="B50" t="s">
        <v>25</v>
      </c>
      <c r="C50" t="s">
        <v>16</v>
      </c>
      <c r="D50" t="s">
        <v>17</v>
      </c>
      <c r="E50" t="s">
        <v>26</v>
      </c>
      <c r="F50" s="4">
        <v>706</v>
      </c>
      <c r="G50" t="s">
        <v>18</v>
      </c>
      <c r="H50" t="s">
        <v>120</v>
      </c>
      <c r="I50" t="s">
        <v>121</v>
      </c>
      <c r="J50" s="3">
        <v>89.9</v>
      </c>
      <c r="K50" t="s">
        <v>20</v>
      </c>
      <c r="L50" s="1">
        <v>45341</v>
      </c>
      <c r="M50" s="2">
        <v>0.36853009259259262</v>
      </c>
      <c r="N50" t="s">
        <v>21</v>
      </c>
      <c r="O50" t="s">
        <v>22</v>
      </c>
      <c r="P50">
        <f>Zara_data[[#This Row],[Sales Volume]]*Zara_data[[#This Row],[price]]</f>
        <v>63469.4</v>
      </c>
      <c r="Q50">
        <f>Zara_data[[#This Row],[Revenue]]/Zara_data[[#This Row],[Sales Volume]]</f>
        <v>89.9</v>
      </c>
    </row>
    <row r="51" spans="1:17" x14ac:dyDescent="0.35">
      <c r="A51">
        <v>124088</v>
      </c>
      <c r="B51" t="s">
        <v>25</v>
      </c>
      <c r="C51" t="s">
        <v>26</v>
      </c>
      <c r="D51" t="s">
        <v>17</v>
      </c>
      <c r="E51" t="s">
        <v>26</v>
      </c>
      <c r="F51" s="4">
        <v>2065</v>
      </c>
      <c r="G51" t="s">
        <v>18</v>
      </c>
      <c r="H51" t="s">
        <v>122</v>
      </c>
      <c r="I51" t="s">
        <v>123</v>
      </c>
      <c r="J51" s="3">
        <v>79.900000000000006</v>
      </c>
      <c r="K51" t="s">
        <v>20</v>
      </c>
      <c r="L51" s="1">
        <v>45341</v>
      </c>
      <c r="M51" s="2">
        <v>0.36854166666666666</v>
      </c>
      <c r="N51" t="s">
        <v>21</v>
      </c>
      <c r="O51" t="s">
        <v>22</v>
      </c>
      <c r="P51">
        <f>Zara_data[[#This Row],[Sales Volume]]*Zara_data[[#This Row],[price]]</f>
        <v>164993.5</v>
      </c>
      <c r="Q51">
        <f>Zara_data[[#This Row],[Revenue]]/Zara_data[[#This Row],[Sales Volume]]</f>
        <v>79.900000000000006</v>
      </c>
    </row>
    <row r="52" spans="1:17" x14ac:dyDescent="0.35">
      <c r="A52">
        <v>190238</v>
      </c>
      <c r="B52" t="s">
        <v>35</v>
      </c>
      <c r="C52" t="s">
        <v>16</v>
      </c>
      <c r="D52" t="s">
        <v>17</v>
      </c>
      <c r="E52" t="s">
        <v>26</v>
      </c>
      <c r="F52" s="4">
        <v>1917</v>
      </c>
      <c r="G52" t="s">
        <v>18</v>
      </c>
      <c r="H52" t="s">
        <v>124</v>
      </c>
      <c r="I52" t="s">
        <v>125</v>
      </c>
      <c r="J52" s="3">
        <v>89.9</v>
      </c>
      <c r="K52" t="s">
        <v>20</v>
      </c>
      <c r="L52" s="1">
        <v>45341</v>
      </c>
      <c r="M52" s="2">
        <v>0.36855324074074075</v>
      </c>
      <c r="N52" t="s">
        <v>21</v>
      </c>
      <c r="O52" t="s">
        <v>22</v>
      </c>
      <c r="P52">
        <f>Zara_data[[#This Row],[Sales Volume]]*Zara_data[[#This Row],[price]]</f>
        <v>172338.30000000002</v>
      </c>
      <c r="Q52">
        <f>Zara_data[[#This Row],[Revenue]]/Zara_data[[#This Row],[Sales Volume]]</f>
        <v>89.9</v>
      </c>
    </row>
    <row r="53" spans="1:17" x14ac:dyDescent="0.35">
      <c r="A53">
        <v>151925</v>
      </c>
      <c r="B53" t="s">
        <v>25</v>
      </c>
      <c r="C53" t="s">
        <v>26</v>
      </c>
      <c r="D53" t="s">
        <v>17</v>
      </c>
      <c r="E53" t="s">
        <v>26</v>
      </c>
      <c r="F53" s="4">
        <v>2179</v>
      </c>
      <c r="G53" t="s">
        <v>18</v>
      </c>
      <c r="H53" t="s">
        <v>126</v>
      </c>
      <c r="I53" t="s">
        <v>127</v>
      </c>
      <c r="J53" s="3">
        <v>299</v>
      </c>
      <c r="K53" t="s">
        <v>20</v>
      </c>
      <c r="L53" s="1">
        <v>45341</v>
      </c>
      <c r="M53" s="2">
        <v>0.36855324074074075</v>
      </c>
      <c r="N53" t="s">
        <v>21</v>
      </c>
      <c r="O53" t="s">
        <v>22</v>
      </c>
      <c r="P53">
        <f>Zara_data[[#This Row],[Sales Volume]]*Zara_data[[#This Row],[price]]</f>
        <v>651521</v>
      </c>
      <c r="Q53">
        <f>Zara_data[[#This Row],[Revenue]]/Zara_data[[#This Row],[Sales Volume]]</f>
        <v>299</v>
      </c>
    </row>
    <row r="54" spans="1:17" x14ac:dyDescent="0.35">
      <c r="A54">
        <v>163234</v>
      </c>
      <c r="B54" t="s">
        <v>35</v>
      </c>
      <c r="C54" t="s">
        <v>16</v>
      </c>
      <c r="D54" t="s">
        <v>17</v>
      </c>
      <c r="E54" t="s">
        <v>16</v>
      </c>
      <c r="F54" s="4">
        <v>1633</v>
      </c>
      <c r="G54" t="s">
        <v>18</v>
      </c>
      <c r="H54" t="s">
        <v>128</v>
      </c>
      <c r="I54" t="s">
        <v>129</v>
      </c>
      <c r="J54" s="3">
        <v>89.9</v>
      </c>
      <c r="K54" t="s">
        <v>20</v>
      </c>
      <c r="L54" s="1">
        <v>45341</v>
      </c>
      <c r="M54" s="2">
        <v>0.36856481481481479</v>
      </c>
      <c r="N54" t="s">
        <v>21</v>
      </c>
      <c r="O54" t="s">
        <v>22</v>
      </c>
      <c r="P54">
        <f>Zara_data[[#This Row],[Sales Volume]]*Zara_data[[#This Row],[price]]</f>
        <v>146806.70000000001</v>
      </c>
      <c r="Q54">
        <f>Zara_data[[#This Row],[Revenue]]/Zara_data[[#This Row],[Sales Volume]]</f>
        <v>89.9</v>
      </c>
    </row>
    <row r="55" spans="1:17" x14ac:dyDescent="0.35">
      <c r="A55">
        <v>135610</v>
      </c>
      <c r="B55" t="s">
        <v>15</v>
      </c>
      <c r="C55" t="s">
        <v>26</v>
      </c>
      <c r="D55" t="s">
        <v>17</v>
      </c>
      <c r="E55" t="s">
        <v>26</v>
      </c>
      <c r="F55" s="4">
        <v>1513</v>
      </c>
      <c r="G55" t="s">
        <v>18</v>
      </c>
      <c r="H55" t="s">
        <v>130</v>
      </c>
      <c r="I55" t="s">
        <v>131</v>
      </c>
      <c r="J55" s="3">
        <v>109</v>
      </c>
      <c r="K55" t="s">
        <v>20</v>
      </c>
      <c r="L55" s="1">
        <v>45341</v>
      </c>
      <c r="M55" s="2">
        <v>0.36857638888888888</v>
      </c>
      <c r="N55" t="s">
        <v>21</v>
      </c>
      <c r="O55" t="s">
        <v>22</v>
      </c>
      <c r="P55">
        <f>Zara_data[[#This Row],[Sales Volume]]*Zara_data[[#This Row],[price]]</f>
        <v>164917</v>
      </c>
      <c r="Q55">
        <f>Zara_data[[#This Row],[Revenue]]/Zara_data[[#This Row],[Sales Volume]]</f>
        <v>109</v>
      </c>
    </row>
    <row r="56" spans="1:17" x14ac:dyDescent="0.35">
      <c r="A56">
        <v>117065</v>
      </c>
      <c r="B56" t="s">
        <v>15</v>
      </c>
      <c r="C56" t="s">
        <v>26</v>
      </c>
      <c r="D56" t="s">
        <v>17</v>
      </c>
      <c r="E56" t="s">
        <v>26</v>
      </c>
      <c r="F56" s="4">
        <v>758</v>
      </c>
      <c r="G56" t="s">
        <v>18</v>
      </c>
      <c r="H56" t="s">
        <v>132</v>
      </c>
      <c r="I56" t="s">
        <v>133</v>
      </c>
      <c r="J56" s="3">
        <v>109</v>
      </c>
      <c r="K56" t="s">
        <v>20</v>
      </c>
      <c r="L56" s="1">
        <v>45341</v>
      </c>
      <c r="M56" s="2">
        <v>0.36857638888888888</v>
      </c>
      <c r="N56" t="s">
        <v>21</v>
      </c>
      <c r="O56" t="s">
        <v>22</v>
      </c>
      <c r="P56">
        <f>Zara_data[[#This Row],[Sales Volume]]*Zara_data[[#This Row],[price]]</f>
        <v>82622</v>
      </c>
      <c r="Q56">
        <f>Zara_data[[#This Row],[Revenue]]/Zara_data[[#This Row],[Sales Volume]]</f>
        <v>109</v>
      </c>
    </row>
    <row r="57" spans="1:17" x14ac:dyDescent="0.35">
      <c r="A57">
        <v>149315</v>
      </c>
      <c r="B57" t="s">
        <v>25</v>
      </c>
      <c r="C57" t="s">
        <v>26</v>
      </c>
      <c r="D57" t="s">
        <v>17</v>
      </c>
      <c r="E57" t="s">
        <v>16</v>
      </c>
      <c r="F57" s="4">
        <v>718</v>
      </c>
      <c r="G57" t="s">
        <v>18</v>
      </c>
      <c r="H57" t="s">
        <v>134</v>
      </c>
      <c r="I57" t="s">
        <v>135</v>
      </c>
      <c r="J57" s="3">
        <v>109</v>
      </c>
      <c r="K57" t="s">
        <v>20</v>
      </c>
      <c r="L57" s="1">
        <v>45341</v>
      </c>
      <c r="M57" s="2">
        <v>0.36858796296296298</v>
      </c>
      <c r="N57" t="s">
        <v>21</v>
      </c>
      <c r="O57" t="s">
        <v>22</v>
      </c>
      <c r="P57">
        <f>Zara_data[[#This Row],[Sales Volume]]*Zara_data[[#This Row],[price]]</f>
        <v>78262</v>
      </c>
      <c r="Q57">
        <f>Zara_data[[#This Row],[Revenue]]/Zara_data[[#This Row],[Sales Volume]]</f>
        <v>109</v>
      </c>
    </row>
    <row r="58" spans="1:17" x14ac:dyDescent="0.35">
      <c r="A58">
        <v>149510</v>
      </c>
      <c r="B58" t="s">
        <v>15</v>
      </c>
      <c r="C58" t="s">
        <v>16</v>
      </c>
      <c r="D58" t="s">
        <v>17</v>
      </c>
      <c r="E58" t="s">
        <v>26</v>
      </c>
      <c r="F58" s="4">
        <v>1412</v>
      </c>
      <c r="G58" t="s">
        <v>18</v>
      </c>
      <c r="H58" t="s">
        <v>136</v>
      </c>
      <c r="I58" t="s">
        <v>137</v>
      </c>
      <c r="J58" s="3">
        <v>59.9</v>
      </c>
      <c r="K58" t="s">
        <v>20</v>
      </c>
      <c r="L58" s="1">
        <v>45341</v>
      </c>
      <c r="M58" s="2">
        <v>0.36859953703703702</v>
      </c>
      <c r="N58" t="s">
        <v>21</v>
      </c>
      <c r="O58" t="s">
        <v>22</v>
      </c>
      <c r="P58">
        <f>Zara_data[[#This Row],[Sales Volume]]*Zara_data[[#This Row],[price]]</f>
        <v>84578.8</v>
      </c>
      <c r="Q58">
        <f>Zara_data[[#This Row],[Revenue]]/Zara_data[[#This Row],[Sales Volume]]</f>
        <v>59.9</v>
      </c>
    </row>
    <row r="59" spans="1:17" x14ac:dyDescent="0.35">
      <c r="A59">
        <v>137990</v>
      </c>
      <c r="B59" t="s">
        <v>15</v>
      </c>
      <c r="C59" t="s">
        <v>16</v>
      </c>
      <c r="D59" t="s">
        <v>17</v>
      </c>
      <c r="E59" t="s">
        <v>16</v>
      </c>
      <c r="F59" s="4">
        <v>2929</v>
      </c>
      <c r="G59" t="s">
        <v>18</v>
      </c>
      <c r="H59" t="s">
        <v>138</v>
      </c>
      <c r="I59" t="s">
        <v>139</v>
      </c>
      <c r="J59" s="3">
        <v>29.99</v>
      </c>
      <c r="K59" t="s">
        <v>20</v>
      </c>
      <c r="L59" s="1">
        <v>45341</v>
      </c>
      <c r="M59" s="2">
        <v>0.36862268518518521</v>
      </c>
      <c r="N59" t="s">
        <v>21</v>
      </c>
      <c r="O59" t="s">
        <v>22</v>
      </c>
      <c r="P59">
        <f>Zara_data[[#This Row],[Sales Volume]]*Zara_data[[#This Row],[price]]</f>
        <v>87840.709999999992</v>
      </c>
      <c r="Q59">
        <f>Zara_data[[#This Row],[Revenue]]/Zara_data[[#This Row],[Sales Volume]]</f>
        <v>29.99</v>
      </c>
    </row>
    <row r="60" spans="1:17" x14ac:dyDescent="0.35">
      <c r="A60">
        <v>154016</v>
      </c>
      <c r="B60" t="s">
        <v>25</v>
      </c>
      <c r="C60" t="s">
        <v>26</v>
      </c>
      <c r="D60" t="s">
        <v>17</v>
      </c>
      <c r="E60" t="s">
        <v>26</v>
      </c>
      <c r="F60" s="4">
        <v>2366</v>
      </c>
      <c r="G60" t="s">
        <v>18</v>
      </c>
      <c r="H60" t="s">
        <v>140</v>
      </c>
      <c r="I60" t="s">
        <v>141</v>
      </c>
      <c r="J60" s="3">
        <v>189</v>
      </c>
      <c r="K60" t="s">
        <v>20</v>
      </c>
      <c r="L60" s="1">
        <v>45341</v>
      </c>
      <c r="M60" s="2">
        <v>0.36861111111111111</v>
      </c>
      <c r="N60" t="s">
        <v>21</v>
      </c>
      <c r="O60" t="s">
        <v>22</v>
      </c>
      <c r="P60">
        <f>Zara_data[[#This Row],[Sales Volume]]*Zara_data[[#This Row],[price]]</f>
        <v>447174</v>
      </c>
      <c r="Q60">
        <f>Zara_data[[#This Row],[Revenue]]/Zara_data[[#This Row],[Sales Volume]]</f>
        <v>189</v>
      </c>
    </row>
    <row r="61" spans="1:17" x14ac:dyDescent="0.35">
      <c r="A61">
        <v>117751</v>
      </c>
      <c r="B61" t="s">
        <v>15</v>
      </c>
      <c r="C61" t="s">
        <v>16</v>
      </c>
      <c r="D61" t="s">
        <v>17</v>
      </c>
      <c r="E61" t="s">
        <v>16</v>
      </c>
      <c r="F61" s="4">
        <v>2749</v>
      </c>
      <c r="G61" t="s">
        <v>18</v>
      </c>
      <c r="H61" t="s">
        <v>142</v>
      </c>
      <c r="I61" t="s">
        <v>143</v>
      </c>
      <c r="J61" s="3">
        <v>89.9</v>
      </c>
      <c r="K61" t="s">
        <v>20</v>
      </c>
      <c r="L61" s="1">
        <v>45341</v>
      </c>
      <c r="M61" s="2">
        <v>0.36864583333333334</v>
      </c>
      <c r="N61" t="s">
        <v>21</v>
      </c>
      <c r="O61" t="s">
        <v>22</v>
      </c>
      <c r="P61">
        <f>Zara_data[[#This Row],[Sales Volume]]*Zara_data[[#This Row],[price]]</f>
        <v>247135.1</v>
      </c>
      <c r="Q61">
        <f>Zara_data[[#This Row],[Revenue]]/Zara_data[[#This Row],[Sales Volume]]</f>
        <v>89.9</v>
      </c>
    </row>
    <row r="62" spans="1:17" x14ac:dyDescent="0.35">
      <c r="A62">
        <v>182362</v>
      </c>
      <c r="B62" t="s">
        <v>35</v>
      </c>
      <c r="C62" t="s">
        <v>16</v>
      </c>
      <c r="D62" t="s">
        <v>17</v>
      </c>
      <c r="E62" t="s">
        <v>16</v>
      </c>
      <c r="F62" s="4">
        <v>2019</v>
      </c>
      <c r="G62" t="s">
        <v>18</v>
      </c>
      <c r="H62" t="s">
        <v>144</v>
      </c>
      <c r="I62" t="s">
        <v>145</v>
      </c>
      <c r="J62" s="3">
        <v>69.900000000000006</v>
      </c>
      <c r="K62" t="s">
        <v>20</v>
      </c>
      <c r="L62" s="1">
        <v>45341</v>
      </c>
      <c r="M62" s="2">
        <v>0.36864583333333334</v>
      </c>
      <c r="N62" t="s">
        <v>21</v>
      </c>
      <c r="O62" t="s">
        <v>22</v>
      </c>
      <c r="P62">
        <f>Zara_data[[#This Row],[Sales Volume]]*Zara_data[[#This Row],[price]]</f>
        <v>141128.1</v>
      </c>
      <c r="Q62">
        <f>Zara_data[[#This Row],[Revenue]]/Zara_data[[#This Row],[Sales Volume]]</f>
        <v>69.900000000000006</v>
      </c>
    </row>
    <row r="63" spans="1:17" x14ac:dyDescent="0.35">
      <c r="A63">
        <v>117725</v>
      </c>
      <c r="B63" t="s">
        <v>15</v>
      </c>
      <c r="C63" t="s">
        <v>16</v>
      </c>
      <c r="D63" t="s">
        <v>17</v>
      </c>
      <c r="E63" t="s">
        <v>26</v>
      </c>
      <c r="F63" s="4">
        <v>1506</v>
      </c>
      <c r="G63" t="s">
        <v>18</v>
      </c>
      <c r="H63" t="s">
        <v>146</v>
      </c>
      <c r="I63" t="s">
        <v>147</v>
      </c>
      <c r="J63" s="3">
        <v>109</v>
      </c>
      <c r="K63" t="s">
        <v>20</v>
      </c>
      <c r="L63" s="1">
        <v>45341</v>
      </c>
      <c r="M63" s="2">
        <v>0.36865740740740743</v>
      </c>
      <c r="N63" t="s">
        <v>21</v>
      </c>
      <c r="O63" t="s">
        <v>22</v>
      </c>
      <c r="P63">
        <f>Zara_data[[#This Row],[Sales Volume]]*Zara_data[[#This Row],[price]]</f>
        <v>164154</v>
      </c>
      <c r="Q63">
        <f>Zara_data[[#This Row],[Revenue]]/Zara_data[[#This Row],[Sales Volume]]</f>
        <v>109</v>
      </c>
    </row>
    <row r="64" spans="1:17" x14ac:dyDescent="0.35">
      <c r="A64">
        <v>145289</v>
      </c>
      <c r="B64" t="s">
        <v>25</v>
      </c>
      <c r="C64" t="s">
        <v>16</v>
      </c>
      <c r="D64" t="s">
        <v>17</v>
      </c>
      <c r="E64" t="s">
        <v>16</v>
      </c>
      <c r="F64" s="4">
        <v>1012</v>
      </c>
      <c r="G64" t="s">
        <v>18</v>
      </c>
      <c r="H64" t="s">
        <v>148</v>
      </c>
      <c r="I64" t="s">
        <v>149</v>
      </c>
      <c r="J64" s="3">
        <v>109</v>
      </c>
      <c r="K64" t="s">
        <v>20</v>
      </c>
      <c r="L64" s="1">
        <v>45341</v>
      </c>
      <c r="M64" s="2">
        <v>0.36865740740740743</v>
      </c>
      <c r="N64" t="s">
        <v>21</v>
      </c>
      <c r="O64" t="s">
        <v>22</v>
      </c>
      <c r="P64">
        <f>Zara_data[[#This Row],[Sales Volume]]*Zara_data[[#This Row],[price]]</f>
        <v>110308</v>
      </c>
      <c r="Q64">
        <f>Zara_data[[#This Row],[Revenue]]/Zara_data[[#This Row],[Sales Volume]]</f>
        <v>109</v>
      </c>
    </row>
    <row r="65" spans="1:17" x14ac:dyDescent="0.35">
      <c r="A65">
        <v>173576</v>
      </c>
      <c r="B65" t="s">
        <v>25</v>
      </c>
      <c r="C65" t="s">
        <v>26</v>
      </c>
      <c r="D65" t="s">
        <v>17</v>
      </c>
      <c r="E65" t="s">
        <v>16</v>
      </c>
      <c r="F65" s="4">
        <v>1838</v>
      </c>
      <c r="G65" t="s">
        <v>18</v>
      </c>
      <c r="H65" t="s">
        <v>150</v>
      </c>
      <c r="I65" t="s">
        <v>151</v>
      </c>
      <c r="J65" s="3">
        <v>129</v>
      </c>
      <c r="K65" t="s">
        <v>20</v>
      </c>
      <c r="L65" s="1">
        <v>45341</v>
      </c>
      <c r="M65" s="2">
        <v>0.36868055555555557</v>
      </c>
      <c r="N65" t="s">
        <v>21</v>
      </c>
      <c r="O65" t="s">
        <v>22</v>
      </c>
      <c r="P65">
        <f>Zara_data[[#This Row],[Sales Volume]]*Zara_data[[#This Row],[price]]</f>
        <v>237102</v>
      </c>
      <c r="Q65">
        <f>Zara_data[[#This Row],[Revenue]]/Zara_data[[#This Row],[Sales Volume]]</f>
        <v>129</v>
      </c>
    </row>
    <row r="66" spans="1:17" x14ac:dyDescent="0.35">
      <c r="A66">
        <v>162883</v>
      </c>
      <c r="B66" t="s">
        <v>35</v>
      </c>
      <c r="C66" t="s">
        <v>26</v>
      </c>
      <c r="D66" t="s">
        <v>17</v>
      </c>
      <c r="E66" t="s">
        <v>16</v>
      </c>
      <c r="F66" s="4">
        <v>786</v>
      </c>
      <c r="G66" t="s">
        <v>18</v>
      </c>
      <c r="H66" t="s">
        <v>152</v>
      </c>
      <c r="I66" t="s">
        <v>153</v>
      </c>
      <c r="J66" s="3">
        <v>139</v>
      </c>
      <c r="K66" t="s">
        <v>20</v>
      </c>
      <c r="L66" s="1">
        <v>45341</v>
      </c>
      <c r="M66" s="2">
        <v>0.36869212962962961</v>
      </c>
      <c r="N66" t="s">
        <v>21</v>
      </c>
      <c r="O66" t="s">
        <v>22</v>
      </c>
      <c r="P66">
        <f>Zara_data[[#This Row],[Sales Volume]]*Zara_data[[#This Row],[price]]</f>
        <v>109254</v>
      </c>
      <c r="Q66">
        <f>Zara_data[[#This Row],[Revenue]]/Zara_data[[#This Row],[Sales Volume]]</f>
        <v>139</v>
      </c>
    </row>
    <row r="67" spans="1:17" x14ac:dyDescent="0.35">
      <c r="A67">
        <v>135490</v>
      </c>
      <c r="B67" t="s">
        <v>35</v>
      </c>
      <c r="C67" t="s">
        <v>16</v>
      </c>
      <c r="D67" t="s">
        <v>17</v>
      </c>
      <c r="E67" t="s">
        <v>16</v>
      </c>
      <c r="F67" s="4">
        <v>1094</v>
      </c>
      <c r="G67" t="s">
        <v>18</v>
      </c>
      <c r="H67" t="s">
        <v>154</v>
      </c>
      <c r="I67" t="s">
        <v>155</v>
      </c>
      <c r="J67" s="3">
        <v>139</v>
      </c>
      <c r="K67" t="s">
        <v>20</v>
      </c>
      <c r="L67" s="1">
        <v>45341</v>
      </c>
      <c r="M67" s="2">
        <v>0.3687037037037037</v>
      </c>
      <c r="N67" t="s">
        <v>21</v>
      </c>
      <c r="O67" t="s">
        <v>22</v>
      </c>
      <c r="P67">
        <f>Zara_data[[#This Row],[Sales Volume]]*Zara_data[[#This Row],[price]]</f>
        <v>152066</v>
      </c>
      <c r="Q67">
        <f>Zara_data[[#This Row],[Revenue]]/Zara_data[[#This Row],[Sales Volume]]</f>
        <v>139</v>
      </c>
    </row>
    <row r="68" spans="1:17" x14ac:dyDescent="0.35">
      <c r="A68">
        <v>134763</v>
      </c>
      <c r="B68" t="s">
        <v>35</v>
      </c>
      <c r="C68" t="s">
        <v>16</v>
      </c>
      <c r="D68" t="s">
        <v>17</v>
      </c>
      <c r="E68" t="s">
        <v>26</v>
      </c>
      <c r="F68" s="4">
        <v>2048</v>
      </c>
      <c r="G68" t="s">
        <v>18</v>
      </c>
      <c r="H68" t="s">
        <v>156</v>
      </c>
      <c r="I68" t="s">
        <v>157</v>
      </c>
      <c r="J68" s="3">
        <v>89.9</v>
      </c>
      <c r="K68" t="s">
        <v>20</v>
      </c>
      <c r="L68" s="1">
        <v>45341</v>
      </c>
      <c r="M68" s="2">
        <v>0.36871527777777779</v>
      </c>
      <c r="N68" t="s">
        <v>21</v>
      </c>
      <c r="O68" t="s">
        <v>22</v>
      </c>
      <c r="P68">
        <f>Zara_data[[#This Row],[Sales Volume]]*Zara_data[[#This Row],[price]]</f>
        <v>184115.20000000001</v>
      </c>
      <c r="Q68">
        <f>Zara_data[[#This Row],[Revenue]]/Zara_data[[#This Row],[Sales Volume]]</f>
        <v>89.9</v>
      </c>
    </row>
    <row r="69" spans="1:17" x14ac:dyDescent="0.35">
      <c r="A69">
        <v>125409</v>
      </c>
      <c r="B69" t="s">
        <v>25</v>
      </c>
      <c r="C69" t="s">
        <v>26</v>
      </c>
      <c r="D69" t="s">
        <v>17</v>
      </c>
      <c r="E69" t="s">
        <v>16</v>
      </c>
      <c r="F69" s="4">
        <v>2040</v>
      </c>
      <c r="G69" t="s">
        <v>18</v>
      </c>
      <c r="H69" t="s">
        <v>158</v>
      </c>
      <c r="I69" t="s">
        <v>159</v>
      </c>
      <c r="J69" s="3">
        <v>89.9</v>
      </c>
      <c r="K69" t="s">
        <v>20</v>
      </c>
      <c r="L69" s="1">
        <v>45341</v>
      </c>
      <c r="M69" s="2">
        <v>0.36872685185185183</v>
      </c>
      <c r="N69" t="s">
        <v>21</v>
      </c>
      <c r="O69" t="s">
        <v>22</v>
      </c>
      <c r="P69">
        <f>Zara_data[[#This Row],[Sales Volume]]*Zara_data[[#This Row],[price]]</f>
        <v>183396</v>
      </c>
      <c r="Q69">
        <f>Zara_data[[#This Row],[Revenue]]/Zara_data[[#This Row],[Sales Volume]]</f>
        <v>89.9</v>
      </c>
    </row>
    <row r="70" spans="1:17" x14ac:dyDescent="0.35">
      <c r="A70">
        <v>183074</v>
      </c>
      <c r="B70" t="s">
        <v>15</v>
      </c>
      <c r="C70" t="s">
        <v>16</v>
      </c>
      <c r="D70" t="s">
        <v>17</v>
      </c>
      <c r="E70" t="s">
        <v>16</v>
      </c>
      <c r="F70" s="4">
        <v>2791</v>
      </c>
      <c r="G70" t="s">
        <v>18</v>
      </c>
      <c r="H70" t="s">
        <v>160</v>
      </c>
      <c r="I70" t="s">
        <v>161</v>
      </c>
      <c r="J70" s="3">
        <v>89.9</v>
      </c>
      <c r="K70" t="s">
        <v>20</v>
      </c>
      <c r="L70" s="1">
        <v>45341</v>
      </c>
      <c r="M70" s="2">
        <v>0.36873842592592593</v>
      </c>
      <c r="N70" t="s">
        <v>21</v>
      </c>
      <c r="O70" t="s">
        <v>22</v>
      </c>
      <c r="P70">
        <f>Zara_data[[#This Row],[Sales Volume]]*Zara_data[[#This Row],[price]]</f>
        <v>250910.90000000002</v>
      </c>
      <c r="Q70">
        <f>Zara_data[[#This Row],[Revenue]]/Zara_data[[#This Row],[Sales Volume]]</f>
        <v>89.9</v>
      </c>
    </row>
    <row r="71" spans="1:17" x14ac:dyDescent="0.35">
      <c r="A71">
        <v>147947</v>
      </c>
      <c r="B71" t="s">
        <v>15</v>
      </c>
      <c r="C71" t="s">
        <v>26</v>
      </c>
      <c r="D71" t="s">
        <v>17</v>
      </c>
      <c r="E71" t="s">
        <v>26</v>
      </c>
      <c r="F71" s="4">
        <v>1249</v>
      </c>
      <c r="G71" t="s">
        <v>18</v>
      </c>
      <c r="H71" t="s">
        <v>162</v>
      </c>
      <c r="I71" t="s">
        <v>163</v>
      </c>
      <c r="J71" s="3">
        <v>89.9</v>
      </c>
      <c r="K71" t="s">
        <v>20</v>
      </c>
      <c r="L71" s="1">
        <v>45341</v>
      </c>
      <c r="M71" s="2">
        <v>0.36873842592592593</v>
      </c>
      <c r="N71" t="s">
        <v>21</v>
      </c>
      <c r="O71" t="s">
        <v>22</v>
      </c>
      <c r="P71">
        <f>Zara_data[[#This Row],[Sales Volume]]*Zara_data[[#This Row],[price]]</f>
        <v>112285.1</v>
      </c>
      <c r="Q71">
        <f>Zara_data[[#This Row],[Revenue]]/Zara_data[[#This Row],[Sales Volume]]</f>
        <v>89.9</v>
      </c>
    </row>
    <row r="72" spans="1:17" x14ac:dyDescent="0.35">
      <c r="A72">
        <v>174171</v>
      </c>
      <c r="B72" t="s">
        <v>35</v>
      </c>
      <c r="C72" t="s">
        <v>26</v>
      </c>
      <c r="D72" t="s">
        <v>17</v>
      </c>
      <c r="E72" t="s">
        <v>26</v>
      </c>
      <c r="F72" s="4">
        <v>2273</v>
      </c>
      <c r="G72" t="s">
        <v>18</v>
      </c>
      <c r="H72" t="s">
        <v>164</v>
      </c>
      <c r="I72" t="s">
        <v>165</v>
      </c>
      <c r="J72" s="3">
        <v>89.9</v>
      </c>
      <c r="K72" t="s">
        <v>20</v>
      </c>
      <c r="L72" s="1">
        <v>45341</v>
      </c>
      <c r="M72" s="2">
        <v>0.36873842592592593</v>
      </c>
      <c r="N72" t="s">
        <v>21</v>
      </c>
      <c r="O72" t="s">
        <v>22</v>
      </c>
      <c r="P72">
        <f>Zara_data[[#This Row],[Sales Volume]]*Zara_data[[#This Row],[price]]</f>
        <v>204342.7</v>
      </c>
      <c r="Q72">
        <f>Zara_data[[#This Row],[Revenue]]/Zara_data[[#This Row],[Sales Volume]]</f>
        <v>89.9</v>
      </c>
    </row>
    <row r="73" spans="1:17" x14ac:dyDescent="0.35">
      <c r="A73">
        <v>183064</v>
      </c>
      <c r="B73" t="s">
        <v>35</v>
      </c>
      <c r="C73" t="s">
        <v>26</v>
      </c>
      <c r="D73" t="s">
        <v>17</v>
      </c>
      <c r="E73" t="s">
        <v>16</v>
      </c>
      <c r="F73" s="4">
        <v>1773</v>
      </c>
      <c r="G73" t="s">
        <v>18</v>
      </c>
      <c r="H73" t="s">
        <v>166</v>
      </c>
      <c r="I73" t="s">
        <v>167</v>
      </c>
      <c r="J73" s="3">
        <v>89.9</v>
      </c>
      <c r="K73" t="s">
        <v>20</v>
      </c>
      <c r="L73" s="1">
        <v>45341</v>
      </c>
      <c r="M73" s="2">
        <v>0.36875000000000002</v>
      </c>
      <c r="N73" t="s">
        <v>21</v>
      </c>
      <c r="O73" t="s">
        <v>22</v>
      </c>
      <c r="P73">
        <f>Zara_data[[#This Row],[Sales Volume]]*Zara_data[[#This Row],[price]]</f>
        <v>159392.70000000001</v>
      </c>
      <c r="Q73">
        <f>Zara_data[[#This Row],[Revenue]]/Zara_data[[#This Row],[Sales Volume]]</f>
        <v>89.9</v>
      </c>
    </row>
    <row r="74" spans="1:17" x14ac:dyDescent="0.35">
      <c r="A74">
        <v>177131</v>
      </c>
      <c r="B74" t="s">
        <v>15</v>
      </c>
      <c r="C74" t="s">
        <v>26</v>
      </c>
      <c r="D74" t="s">
        <v>17</v>
      </c>
      <c r="E74" t="s">
        <v>26</v>
      </c>
      <c r="F74" s="4">
        <v>1733</v>
      </c>
      <c r="G74" t="s">
        <v>18</v>
      </c>
      <c r="H74" t="s">
        <v>168</v>
      </c>
      <c r="I74" t="s">
        <v>169</v>
      </c>
      <c r="J74" s="3">
        <v>69.900000000000006</v>
      </c>
      <c r="K74" t="s">
        <v>20</v>
      </c>
      <c r="L74" s="1">
        <v>45341</v>
      </c>
      <c r="M74" s="2">
        <v>0.36875000000000002</v>
      </c>
      <c r="N74" t="s">
        <v>21</v>
      </c>
      <c r="O74" t="s">
        <v>22</v>
      </c>
      <c r="P74">
        <f>Zara_data[[#This Row],[Sales Volume]]*Zara_data[[#This Row],[price]]</f>
        <v>121136.70000000001</v>
      </c>
      <c r="Q74">
        <f>Zara_data[[#This Row],[Revenue]]/Zara_data[[#This Row],[Sales Volume]]</f>
        <v>69.900000000000006</v>
      </c>
    </row>
    <row r="75" spans="1:17" x14ac:dyDescent="0.35">
      <c r="A75">
        <v>128179</v>
      </c>
      <c r="B75" t="s">
        <v>25</v>
      </c>
      <c r="C75" t="s">
        <v>26</v>
      </c>
      <c r="D75" t="s">
        <v>17</v>
      </c>
      <c r="E75" t="s">
        <v>16</v>
      </c>
      <c r="F75" s="4">
        <v>2060</v>
      </c>
      <c r="G75" t="s">
        <v>18</v>
      </c>
      <c r="H75" t="s">
        <v>170</v>
      </c>
      <c r="I75" t="s">
        <v>171</v>
      </c>
      <c r="J75" s="3">
        <v>89.9</v>
      </c>
      <c r="K75" t="s">
        <v>20</v>
      </c>
      <c r="L75" s="1">
        <v>45341</v>
      </c>
      <c r="M75" s="2">
        <v>0.36878472222222225</v>
      </c>
      <c r="N75" t="s">
        <v>21</v>
      </c>
      <c r="O75" t="s">
        <v>22</v>
      </c>
      <c r="P75">
        <f>Zara_data[[#This Row],[Sales Volume]]*Zara_data[[#This Row],[price]]</f>
        <v>185194</v>
      </c>
      <c r="Q75">
        <f>Zara_data[[#This Row],[Revenue]]/Zara_data[[#This Row],[Sales Volume]]</f>
        <v>89.9</v>
      </c>
    </row>
    <row r="76" spans="1:17" x14ac:dyDescent="0.35">
      <c r="A76">
        <v>152723</v>
      </c>
      <c r="B76" t="s">
        <v>15</v>
      </c>
      <c r="C76" t="s">
        <v>16</v>
      </c>
      <c r="D76" t="s">
        <v>17</v>
      </c>
      <c r="E76" t="s">
        <v>26</v>
      </c>
      <c r="F76" s="4">
        <v>2849</v>
      </c>
      <c r="G76" t="s">
        <v>18</v>
      </c>
      <c r="H76" t="s">
        <v>172</v>
      </c>
      <c r="I76" t="s">
        <v>173</v>
      </c>
      <c r="J76" s="3">
        <v>169</v>
      </c>
      <c r="K76" t="s">
        <v>20</v>
      </c>
      <c r="L76" s="1">
        <v>45341</v>
      </c>
      <c r="M76" s="2">
        <v>0.36878472222222225</v>
      </c>
      <c r="N76" t="s">
        <v>21</v>
      </c>
      <c r="O76" t="s">
        <v>22</v>
      </c>
      <c r="P76">
        <f>Zara_data[[#This Row],[Sales Volume]]*Zara_data[[#This Row],[price]]</f>
        <v>481481</v>
      </c>
      <c r="Q76">
        <f>Zara_data[[#This Row],[Revenue]]/Zara_data[[#This Row],[Sales Volume]]</f>
        <v>169</v>
      </c>
    </row>
    <row r="77" spans="1:17" x14ac:dyDescent="0.35">
      <c r="A77">
        <v>123824</v>
      </c>
      <c r="B77" t="s">
        <v>15</v>
      </c>
      <c r="C77" t="s">
        <v>26</v>
      </c>
      <c r="D77" t="s">
        <v>17</v>
      </c>
      <c r="E77" t="s">
        <v>16</v>
      </c>
      <c r="F77" s="4">
        <v>2277</v>
      </c>
      <c r="G77" t="s">
        <v>18</v>
      </c>
      <c r="H77" t="s">
        <v>174</v>
      </c>
      <c r="I77" t="s">
        <v>175</v>
      </c>
      <c r="J77" s="3">
        <v>169</v>
      </c>
      <c r="K77" t="s">
        <v>20</v>
      </c>
      <c r="L77" s="1">
        <v>45341</v>
      </c>
      <c r="M77" s="2">
        <v>0.36879629629629629</v>
      </c>
      <c r="N77" t="s">
        <v>21</v>
      </c>
      <c r="O77" t="s">
        <v>22</v>
      </c>
      <c r="P77">
        <f>Zara_data[[#This Row],[Sales Volume]]*Zara_data[[#This Row],[price]]</f>
        <v>384813</v>
      </c>
      <c r="Q77">
        <f>Zara_data[[#This Row],[Revenue]]/Zara_data[[#This Row],[Sales Volume]]</f>
        <v>169</v>
      </c>
    </row>
    <row r="78" spans="1:17" x14ac:dyDescent="0.35">
      <c r="A78">
        <v>166345</v>
      </c>
      <c r="B78" t="s">
        <v>15</v>
      </c>
      <c r="C78" t="s">
        <v>16</v>
      </c>
      <c r="D78" t="s">
        <v>17</v>
      </c>
      <c r="E78" t="s">
        <v>26</v>
      </c>
      <c r="F78" s="4">
        <v>1135</v>
      </c>
      <c r="G78" t="s">
        <v>18</v>
      </c>
      <c r="H78" t="s">
        <v>176</v>
      </c>
      <c r="I78" t="s">
        <v>177</v>
      </c>
      <c r="J78" s="3">
        <v>69.900000000000006</v>
      </c>
      <c r="K78" t="s">
        <v>20</v>
      </c>
      <c r="L78" s="1">
        <v>45341</v>
      </c>
      <c r="M78" s="2">
        <v>0.36879629629629629</v>
      </c>
      <c r="N78" t="s">
        <v>21</v>
      </c>
      <c r="O78" t="s">
        <v>22</v>
      </c>
      <c r="P78">
        <f>Zara_data[[#This Row],[Sales Volume]]*Zara_data[[#This Row],[price]]</f>
        <v>79336.5</v>
      </c>
      <c r="Q78">
        <f>Zara_data[[#This Row],[Revenue]]/Zara_data[[#This Row],[Sales Volume]]</f>
        <v>69.900000000000006</v>
      </c>
    </row>
    <row r="79" spans="1:17" x14ac:dyDescent="0.35">
      <c r="A79">
        <v>199279</v>
      </c>
      <c r="B79" t="s">
        <v>15</v>
      </c>
      <c r="C79" t="s">
        <v>16</v>
      </c>
      <c r="D79" t="s">
        <v>17</v>
      </c>
      <c r="E79" t="s">
        <v>16</v>
      </c>
      <c r="F79" s="4">
        <v>1770</v>
      </c>
      <c r="G79" t="s">
        <v>18</v>
      </c>
      <c r="H79" t="s">
        <v>178</v>
      </c>
      <c r="I79" t="s">
        <v>179</v>
      </c>
      <c r="J79" s="3">
        <v>19.989999999999998</v>
      </c>
      <c r="K79" t="s">
        <v>20</v>
      </c>
      <c r="L79" s="1">
        <v>45341</v>
      </c>
      <c r="M79" s="2">
        <v>0.36880787037037038</v>
      </c>
      <c r="N79" t="s">
        <v>21</v>
      </c>
      <c r="O79" t="s">
        <v>22</v>
      </c>
      <c r="P79">
        <f>Zara_data[[#This Row],[Sales Volume]]*Zara_data[[#This Row],[price]]</f>
        <v>35382.299999999996</v>
      </c>
      <c r="Q79">
        <f>Zara_data[[#This Row],[Revenue]]/Zara_data[[#This Row],[Sales Volume]]</f>
        <v>19.989999999999998</v>
      </c>
    </row>
    <row r="80" spans="1:17" x14ac:dyDescent="0.35">
      <c r="A80">
        <v>167981</v>
      </c>
      <c r="B80" t="s">
        <v>25</v>
      </c>
      <c r="C80" t="s">
        <v>16</v>
      </c>
      <c r="D80" t="s">
        <v>17</v>
      </c>
      <c r="E80" t="s">
        <v>16</v>
      </c>
      <c r="F80" s="4">
        <v>730</v>
      </c>
      <c r="G80" t="s">
        <v>18</v>
      </c>
      <c r="H80" t="s">
        <v>180</v>
      </c>
      <c r="I80" t="s">
        <v>181</v>
      </c>
      <c r="J80" s="3">
        <v>139</v>
      </c>
      <c r="K80" t="s">
        <v>20</v>
      </c>
      <c r="L80" s="1">
        <v>45341</v>
      </c>
      <c r="M80" s="2">
        <v>0.36880787037037038</v>
      </c>
      <c r="N80" t="s">
        <v>21</v>
      </c>
      <c r="O80" t="s">
        <v>22</v>
      </c>
      <c r="P80">
        <f>Zara_data[[#This Row],[Sales Volume]]*Zara_data[[#This Row],[price]]</f>
        <v>101470</v>
      </c>
      <c r="Q80">
        <f>Zara_data[[#This Row],[Revenue]]/Zara_data[[#This Row],[Sales Volume]]</f>
        <v>139</v>
      </c>
    </row>
    <row r="81" spans="1:17" x14ac:dyDescent="0.35">
      <c r="A81">
        <v>165158</v>
      </c>
      <c r="B81" t="s">
        <v>35</v>
      </c>
      <c r="C81" t="s">
        <v>16</v>
      </c>
      <c r="D81" t="s">
        <v>17</v>
      </c>
      <c r="E81" t="s">
        <v>16</v>
      </c>
      <c r="F81" s="4">
        <v>1622</v>
      </c>
      <c r="G81" t="s">
        <v>18</v>
      </c>
      <c r="H81" t="s">
        <v>182</v>
      </c>
      <c r="I81" t="s">
        <v>183</v>
      </c>
      <c r="J81" s="3">
        <v>109</v>
      </c>
      <c r="K81" t="s">
        <v>20</v>
      </c>
      <c r="L81" s="1">
        <v>45341</v>
      </c>
      <c r="M81" s="2">
        <v>0.36883101851851852</v>
      </c>
      <c r="N81" t="s">
        <v>21</v>
      </c>
      <c r="O81" t="s">
        <v>22</v>
      </c>
      <c r="P81">
        <f>Zara_data[[#This Row],[Sales Volume]]*Zara_data[[#This Row],[price]]</f>
        <v>176798</v>
      </c>
      <c r="Q81">
        <f>Zara_data[[#This Row],[Revenue]]/Zara_data[[#This Row],[Sales Volume]]</f>
        <v>109</v>
      </c>
    </row>
    <row r="82" spans="1:17" x14ac:dyDescent="0.35">
      <c r="A82">
        <v>111521</v>
      </c>
      <c r="B82" t="s">
        <v>35</v>
      </c>
      <c r="C82" t="s">
        <v>26</v>
      </c>
      <c r="D82" t="s">
        <v>17</v>
      </c>
      <c r="E82" t="s">
        <v>26</v>
      </c>
      <c r="F82" s="4">
        <v>2553</v>
      </c>
      <c r="G82" t="s">
        <v>18</v>
      </c>
      <c r="H82" t="s">
        <v>184</v>
      </c>
      <c r="I82" t="s">
        <v>185</v>
      </c>
      <c r="J82" s="3">
        <v>99.9</v>
      </c>
      <c r="K82" t="s">
        <v>20</v>
      </c>
      <c r="L82" s="1">
        <v>45341</v>
      </c>
      <c r="M82" s="2">
        <v>0.36884259259259261</v>
      </c>
      <c r="N82" t="s">
        <v>21</v>
      </c>
      <c r="O82" t="s">
        <v>22</v>
      </c>
      <c r="P82">
        <f>Zara_data[[#This Row],[Sales Volume]]*Zara_data[[#This Row],[price]]</f>
        <v>255044.7</v>
      </c>
      <c r="Q82">
        <f>Zara_data[[#This Row],[Revenue]]/Zara_data[[#This Row],[Sales Volume]]</f>
        <v>99.9</v>
      </c>
    </row>
    <row r="83" spans="1:17" x14ac:dyDescent="0.35">
      <c r="A83">
        <v>198329</v>
      </c>
      <c r="B83" t="s">
        <v>35</v>
      </c>
      <c r="C83" t="s">
        <v>26</v>
      </c>
      <c r="D83" t="s">
        <v>17</v>
      </c>
      <c r="E83" t="s">
        <v>26</v>
      </c>
      <c r="F83" s="4">
        <v>628</v>
      </c>
      <c r="G83" t="s">
        <v>18</v>
      </c>
      <c r="H83" t="s">
        <v>186</v>
      </c>
      <c r="I83" t="s">
        <v>187</v>
      </c>
      <c r="J83" s="3">
        <v>109</v>
      </c>
      <c r="K83" t="s">
        <v>20</v>
      </c>
      <c r="L83" s="1">
        <v>45341</v>
      </c>
      <c r="M83" s="2">
        <v>0.3689351851851852</v>
      </c>
      <c r="N83" t="s">
        <v>21</v>
      </c>
      <c r="O83" t="s">
        <v>22</v>
      </c>
      <c r="P83">
        <f>Zara_data[[#This Row],[Sales Volume]]*Zara_data[[#This Row],[price]]</f>
        <v>68452</v>
      </c>
      <c r="Q83">
        <f>Zara_data[[#This Row],[Revenue]]/Zara_data[[#This Row],[Sales Volume]]</f>
        <v>109</v>
      </c>
    </row>
    <row r="84" spans="1:17" x14ac:dyDescent="0.35">
      <c r="A84">
        <v>110295</v>
      </c>
      <c r="B84" t="s">
        <v>25</v>
      </c>
      <c r="C84" t="s">
        <v>26</v>
      </c>
      <c r="D84" t="s">
        <v>17</v>
      </c>
      <c r="E84" t="s">
        <v>16</v>
      </c>
      <c r="F84" s="4">
        <v>1448</v>
      </c>
      <c r="G84" t="s">
        <v>18</v>
      </c>
      <c r="H84" t="s">
        <v>188</v>
      </c>
      <c r="I84" t="s">
        <v>189</v>
      </c>
      <c r="J84" s="3">
        <v>129</v>
      </c>
      <c r="K84" t="s">
        <v>20</v>
      </c>
      <c r="L84" s="1">
        <v>45341</v>
      </c>
      <c r="M84" s="2">
        <v>0.36894675925925924</v>
      </c>
      <c r="N84" t="s">
        <v>21</v>
      </c>
      <c r="O84" t="s">
        <v>22</v>
      </c>
      <c r="P84">
        <f>Zara_data[[#This Row],[Sales Volume]]*Zara_data[[#This Row],[price]]</f>
        <v>186792</v>
      </c>
      <c r="Q84">
        <f>Zara_data[[#This Row],[Revenue]]/Zara_data[[#This Row],[Sales Volume]]</f>
        <v>129</v>
      </c>
    </row>
    <row r="85" spans="1:17" x14ac:dyDescent="0.35">
      <c r="A85">
        <v>196427</v>
      </c>
      <c r="B85" t="s">
        <v>15</v>
      </c>
      <c r="C85" t="s">
        <v>26</v>
      </c>
      <c r="D85" t="s">
        <v>17</v>
      </c>
      <c r="E85" t="s">
        <v>16</v>
      </c>
      <c r="F85" s="4">
        <v>1401</v>
      </c>
      <c r="G85" t="s">
        <v>18</v>
      </c>
      <c r="H85" t="s">
        <v>190</v>
      </c>
      <c r="I85" t="s">
        <v>191</v>
      </c>
      <c r="J85" s="3">
        <v>169</v>
      </c>
      <c r="K85" t="s">
        <v>20</v>
      </c>
      <c r="L85" s="1">
        <v>45341</v>
      </c>
      <c r="M85" s="2">
        <v>0.36894675925925924</v>
      </c>
      <c r="N85" t="s">
        <v>21</v>
      </c>
      <c r="O85" t="s">
        <v>22</v>
      </c>
      <c r="P85">
        <f>Zara_data[[#This Row],[Sales Volume]]*Zara_data[[#This Row],[price]]</f>
        <v>236769</v>
      </c>
      <c r="Q85">
        <f>Zara_data[[#This Row],[Revenue]]/Zara_data[[#This Row],[Sales Volume]]</f>
        <v>169</v>
      </c>
    </row>
    <row r="86" spans="1:17" x14ac:dyDescent="0.35">
      <c r="A86">
        <v>110075</v>
      </c>
      <c r="B86" t="s">
        <v>35</v>
      </c>
      <c r="C86" t="s">
        <v>26</v>
      </c>
      <c r="D86" t="s">
        <v>17</v>
      </c>
      <c r="E86" t="s">
        <v>26</v>
      </c>
      <c r="F86" s="4">
        <v>2185</v>
      </c>
      <c r="G86" t="s">
        <v>18</v>
      </c>
      <c r="H86" t="s">
        <v>192</v>
      </c>
      <c r="I86" t="s">
        <v>193</v>
      </c>
      <c r="J86" s="3">
        <v>159</v>
      </c>
      <c r="K86" t="s">
        <v>20</v>
      </c>
      <c r="L86" s="1">
        <v>45341</v>
      </c>
      <c r="M86" s="2">
        <v>0.36895833333333333</v>
      </c>
      <c r="N86" t="s">
        <v>21</v>
      </c>
      <c r="O86" t="s">
        <v>22</v>
      </c>
      <c r="P86">
        <f>Zara_data[[#This Row],[Sales Volume]]*Zara_data[[#This Row],[price]]</f>
        <v>347415</v>
      </c>
      <c r="Q86">
        <f>Zara_data[[#This Row],[Revenue]]/Zara_data[[#This Row],[Sales Volume]]</f>
        <v>159</v>
      </c>
    </row>
    <row r="87" spans="1:17" x14ac:dyDescent="0.35">
      <c r="A87">
        <v>132322</v>
      </c>
      <c r="B87" t="s">
        <v>35</v>
      </c>
      <c r="C87" t="s">
        <v>26</v>
      </c>
      <c r="D87" t="s">
        <v>17</v>
      </c>
      <c r="E87" t="s">
        <v>16</v>
      </c>
      <c r="F87" s="4">
        <v>2135</v>
      </c>
      <c r="G87" t="s">
        <v>18</v>
      </c>
      <c r="H87" t="s">
        <v>194</v>
      </c>
      <c r="I87" t="s">
        <v>195</v>
      </c>
      <c r="J87" s="3">
        <v>12.99</v>
      </c>
      <c r="K87" t="s">
        <v>20</v>
      </c>
      <c r="L87" s="1">
        <v>45341</v>
      </c>
      <c r="M87" s="2">
        <v>0.36909722222222224</v>
      </c>
      <c r="N87" t="s">
        <v>21</v>
      </c>
      <c r="O87" t="s">
        <v>22</v>
      </c>
      <c r="P87">
        <f>Zara_data[[#This Row],[Sales Volume]]*Zara_data[[#This Row],[price]]</f>
        <v>27733.65</v>
      </c>
      <c r="Q87">
        <f>Zara_data[[#This Row],[Revenue]]/Zara_data[[#This Row],[Sales Volume]]</f>
        <v>12.99</v>
      </c>
    </row>
    <row r="88" spans="1:17" x14ac:dyDescent="0.35">
      <c r="A88">
        <v>199631</v>
      </c>
      <c r="B88" t="s">
        <v>35</v>
      </c>
      <c r="C88" t="s">
        <v>26</v>
      </c>
      <c r="D88" t="s">
        <v>17</v>
      </c>
      <c r="E88" t="s">
        <v>16</v>
      </c>
      <c r="F88" s="4">
        <v>1269</v>
      </c>
      <c r="G88" t="s">
        <v>18</v>
      </c>
      <c r="H88" t="s">
        <v>196</v>
      </c>
      <c r="I88" t="s">
        <v>197</v>
      </c>
      <c r="J88" s="3">
        <v>89.9</v>
      </c>
      <c r="K88" t="s">
        <v>20</v>
      </c>
      <c r="L88" s="1">
        <v>45341</v>
      </c>
      <c r="M88" s="2">
        <v>0.36910879629629628</v>
      </c>
      <c r="N88" t="s">
        <v>21</v>
      </c>
      <c r="O88" t="s">
        <v>22</v>
      </c>
      <c r="P88">
        <f>Zara_data[[#This Row],[Sales Volume]]*Zara_data[[#This Row],[price]]</f>
        <v>114083.1</v>
      </c>
      <c r="Q88">
        <f>Zara_data[[#This Row],[Revenue]]/Zara_data[[#This Row],[Sales Volume]]</f>
        <v>89.9</v>
      </c>
    </row>
    <row r="89" spans="1:17" x14ac:dyDescent="0.35">
      <c r="A89">
        <v>182306</v>
      </c>
      <c r="B89" t="s">
        <v>35</v>
      </c>
      <c r="C89" t="s">
        <v>16</v>
      </c>
      <c r="D89" t="s">
        <v>17</v>
      </c>
      <c r="E89" t="s">
        <v>16</v>
      </c>
      <c r="F89" s="4">
        <v>2805</v>
      </c>
      <c r="G89" t="s">
        <v>18</v>
      </c>
      <c r="H89" t="s">
        <v>198</v>
      </c>
      <c r="I89" t="s">
        <v>199</v>
      </c>
      <c r="J89" s="3">
        <v>89.9</v>
      </c>
      <c r="K89" t="s">
        <v>20</v>
      </c>
      <c r="L89" s="1">
        <v>45341</v>
      </c>
      <c r="M89" s="2">
        <v>0.36912037037037038</v>
      </c>
      <c r="N89" t="s">
        <v>21</v>
      </c>
      <c r="O89" t="s">
        <v>22</v>
      </c>
      <c r="P89">
        <f>Zara_data[[#This Row],[Sales Volume]]*Zara_data[[#This Row],[price]]</f>
        <v>252169.50000000003</v>
      </c>
      <c r="Q89">
        <f>Zara_data[[#This Row],[Revenue]]/Zara_data[[#This Row],[Sales Volume]]</f>
        <v>89.9</v>
      </c>
    </row>
    <row r="90" spans="1:17" x14ac:dyDescent="0.35">
      <c r="A90">
        <v>131298</v>
      </c>
      <c r="B90" t="s">
        <v>25</v>
      </c>
      <c r="C90" t="s">
        <v>26</v>
      </c>
      <c r="D90" t="s">
        <v>17</v>
      </c>
      <c r="E90" t="s">
        <v>16</v>
      </c>
      <c r="F90" s="4">
        <v>2133</v>
      </c>
      <c r="G90" t="s">
        <v>18</v>
      </c>
      <c r="H90" t="s">
        <v>200</v>
      </c>
      <c r="I90" t="s">
        <v>201</v>
      </c>
      <c r="J90" s="3">
        <v>69.900000000000006</v>
      </c>
      <c r="K90" t="s">
        <v>20</v>
      </c>
      <c r="L90" s="1">
        <v>45341</v>
      </c>
      <c r="M90" s="2">
        <v>0.36913194444444447</v>
      </c>
      <c r="N90" t="s">
        <v>21</v>
      </c>
      <c r="O90" t="s">
        <v>22</v>
      </c>
      <c r="P90">
        <f>Zara_data[[#This Row],[Sales Volume]]*Zara_data[[#This Row],[price]]</f>
        <v>149096.70000000001</v>
      </c>
      <c r="Q90">
        <f>Zara_data[[#This Row],[Revenue]]/Zara_data[[#This Row],[Sales Volume]]</f>
        <v>69.900000000000006</v>
      </c>
    </row>
    <row r="91" spans="1:17" x14ac:dyDescent="0.35">
      <c r="A91">
        <v>154224</v>
      </c>
      <c r="B91" t="s">
        <v>25</v>
      </c>
      <c r="C91" t="s">
        <v>26</v>
      </c>
      <c r="D91" t="s">
        <v>17</v>
      </c>
      <c r="E91" t="s">
        <v>16</v>
      </c>
      <c r="F91" s="4">
        <v>2474</v>
      </c>
      <c r="G91" t="s">
        <v>18</v>
      </c>
      <c r="H91" t="s">
        <v>202</v>
      </c>
      <c r="I91" t="s">
        <v>203</v>
      </c>
      <c r="J91" s="3">
        <v>89.9</v>
      </c>
      <c r="K91" t="s">
        <v>20</v>
      </c>
      <c r="L91" s="1">
        <v>45341</v>
      </c>
      <c r="M91" s="2">
        <v>0.36914351851851851</v>
      </c>
      <c r="N91" t="s">
        <v>21</v>
      </c>
      <c r="O91" t="s">
        <v>22</v>
      </c>
      <c r="P91">
        <f>Zara_data[[#This Row],[Sales Volume]]*Zara_data[[#This Row],[price]]</f>
        <v>222412.6</v>
      </c>
      <c r="Q91">
        <f>Zara_data[[#This Row],[Revenue]]/Zara_data[[#This Row],[Sales Volume]]</f>
        <v>89.9</v>
      </c>
    </row>
    <row r="92" spans="1:17" x14ac:dyDescent="0.35">
      <c r="A92">
        <v>119049</v>
      </c>
      <c r="B92" t="s">
        <v>15</v>
      </c>
      <c r="C92" t="s">
        <v>16</v>
      </c>
      <c r="D92" t="s">
        <v>17</v>
      </c>
      <c r="E92" t="s">
        <v>26</v>
      </c>
      <c r="F92" s="4">
        <v>1659</v>
      </c>
      <c r="G92" t="s">
        <v>18</v>
      </c>
      <c r="H92" t="s">
        <v>204</v>
      </c>
      <c r="I92" t="s">
        <v>205</v>
      </c>
      <c r="J92" s="3">
        <v>89.9</v>
      </c>
      <c r="K92" t="s">
        <v>20</v>
      </c>
      <c r="L92" s="1">
        <v>45341</v>
      </c>
      <c r="M92" s="2">
        <v>0.3691550925925926</v>
      </c>
      <c r="N92" t="s">
        <v>21</v>
      </c>
      <c r="O92" t="s">
        <v>22</v>
      </c>
      <c r="P92">
        <f>Zara_data[[#This Row],[Sales Volume]]*Zara_data[[#This Row],[price]]</f>
        <v>149144.1</v>
      </c>
      <c r="Q92">
        <f>Zara_data[[#This Row],[Revenue]]/Zara_data[[#This Row],[Sales Volume]]</f>
        <v>89.9</v>
      </c>
    </row>
    <row r="93" spans="1:17" x14ac:dyDescent="0.35">
      <c r="A93">
        <v>158781</v>
      </c>
      <c r="B93" t="s">
        <v>25</v>
      </c>
      <c r="C93" t="s">
        <v>26</v>
      </c>
      <c r="D93" t="s">
        <v>17</v>
      </c>
      <c r="E93" t="s">
        <v>26</v>
      </c>
      <c r="F93" s="4">
        <v>2443</v>
      </c>
      <c r="G93" t="s">
        <v>18</v>
      </c>
      <c r="H93" t="s">
        <v>206</v>
      </c>
      <c r="I93" t="s">
        <v>207</v>
      </c>
      <c r="J93" s="3">
        <v>69.900000000000006</v>
      </c>
      <c r="K93" t="s">
        <v>20</v>
      </c>
      <c r="L93" s="1">
        <v>45341</v>
      </c>
      <c r="M93" s="2">
        <v>0.3691550925925926</v>
      </c>
      <c r="N93" t="s">
        <v>21</v>
      </c>
      <c r="O93" t="s">
        <v>22</v>
      </c>
      <c r="P93">
        <f>Zara_data[[#This Row],[Sales Volume]]*Zara_data[[#This Row],[price]]</f>
        <v>170765.7</v>
      </c>
      <c r="Q93">
        <f>Zara_data[[#This Row],[Revenue]]/Zara_data[[#This Row],[Sales Volume]]</f>
        <v>69.900000000000006</v>
      </c>
    </row>
    <row r="94" spans="1:17" x14ac:dyDescent="0.35">
      <c r="A94">
        <v>152871</v>
      </c>
      <c r="B94" t="s">
        <v>25</v>
      </c>
      <c r="C94" t="s">
        <v>16</v>
      </c>
      <c r="D94" t="s">
        <v>17</v>
      </c>
      <c r="E94" t="s">
        <v>26</v>
      </c>
      <c r="F94" s="4">
        <v>1847</v>
      </c>
      <c r="G94" t="s">
        <v>18</v>
      </c>
      <c r="H94" t="s">
        <v>208</v>
      </c>
      <c r="I94" t="s">
        <v>209</v>
      </c>
      <c r="J94" s="3">
        <v>69.900000000000006</v>
      </c>
      <c r="K94" t="s">
        <v>20</v>
      </c>
      <c r="L94" s="1">
        <v>45341</v>
      </c>
      <c r="M94" s="2">
        <v>0.36916666666666664</v>
      </c>
      <c r="N94" t="s">
        <v>21</v>
      </c>
      <c r="O94" t="s">
        <v>22</v>
      </c>
      <c r="P94">
        <f>Zara_data[[#This Row],[Sales Volume]]*Zara_data[[#This Row],[price]]</f>
        <v>129105.30000000002</v>
      </c>
      <c r="Q94">
        <f>Zara_data[[#This Row],[Revenue]]/Zara_data[[#This Row],[Sales Volume]]</f>
        <v>69.900000000000006</v>
      </c>
    </row>
    <row r="95" spans="1:17" x14ac:dyDescent="0.35">
      <c r="A95">
        <v>134104</v>
      </c>
      <c r="B95" t="s">
        <v>25</v>
      </c>
      <c r="C95" t="s">
        <v>16</v>
      </c>
      <c r="D95" t="s">
        <v>17</v>
      </c>
      <c r="E95" t="s">
        <v>26</v>
      </c>
      <c r="F95" s="4">
        <v>1466</v>
      </c>
      <c r="G95" t="s">
        <v>18</v>
      </c>
      <c r="H95" t="s">
        <v>210</v>
      </c>
      <c r="I95" t="s">
        <v>211</v>
      </c>
      <c r="J95" s="3">
        <v>59.9</v>
      </c>
      <c r="K95" t="s">
        <v>20</v>
      </c>
      <c r="L95" s="1">
        <v>45341</v>
      </c>
      <c r="M95" s="2">
        <v>0.36917824074074074</v>
      </c>
      <c r="N95" t="s">
        <v>21</v>
      </c>
      <c r="O95" t="s">
        <v>22</v>
      </c>
      <c r="P95">
        <f>Zara_data[[#This Row],[Sales Volume]]*Zara_data[[#This Row],[price]]</f>
        <v>87813.4</v>
      </c>
      <c r="Q95">
        <f>Zara_data[[#This Row],[Revenue]]/Zara_data[[#This Row],[Sales Volume]]</f>
        <v>59.9</v>
      </c>
    </row>
    <row r="96" spans="1:17" x14ac:dyDescent="0.35">
      <c r="A96">
        <v>183537</v>
      </c>
      <c r="B96" t="s">
        <v>35</v>
      </c>
      <c r="C96" t="s">
        <v>26</v>
      </c>
      <c r="D96" t="s">
        <v>17</v>
      </c>
      <c r="E96" t="s">
        <v>26</v>
      </c>
      <c r="F96" s="4">
        <v>2434</v>
      </c>
      <c r="G96" t="s">
        <v>18</v>
      </c>
      <c r="H96" t="s">
        <v>212</v>
      </c>
      <c r="I96" t="s">
        <v>213</v>
      </c>
      <c r="J96" s="3">
        <v>19.989999999999998</v>
      </c>
      <c r="K96" t="s">
        <v>20</v>
      </c>
      <c r="L96" s="1">
        <v>45341</v>
      </c>
      <c r="M96" s="2">
        <v>0.36921296296296297</v>
      </c>
      <c r="N96" t="s">
        <v>21</v>
      </c>
      <c r="O96" t="s">
        <v>22</v>
      </c>
      <c r="P96">
        <f>Zara_data[[#This Row],[Sales Volume]]*Zara_data[[#This Row],[price]]</f>
        <v>48655.659999999996</v>
      </c>
      <c r="Q96">
        <f>Zara_data[[#This Row],[Revenue]]/Zara_data[[#This Row],[Sales Volume]]</f>
        <v>19.989999999999998</v>
      </c>
    </row>
    <row r="97" spans="1:17" x14ac:dyDescent="0.35">
      <c r="A97">
        <v>150424</v>
      </c>
      <c r="B97" t="s">
        <v>35</v>
      </c>
      <c r="C97" t="s">
        <v>16</v>
      </c>
      <c r="D97" t="s">
        <v>17</v>
      </c>
      <c r="E97" t="s">
        <v>26</v>
      </c>
      <c r="F97" s="4">
        <v>2067</v>
      </c>
      <c r="G97" t="s">
        <v>18</v>
      </c>
      <c r="H97" t="s">
        <v>214</v>
      </c>
      <c r="I97" t="s">
        <v>215</v>
      </c>
      <c r="J97" s="3">
        <v>79.900000000000006</v>
      </c>
      <c r="K97" t="s">
        <v>20</v>
      </c>
      <c r="L97" s="1">
        <v>45341</v>
      </c>
      <c r="M97" s="2">
        <v>0.36921296296296297</v>
      </c>
      <c r="N97" t="s">
        <v>21</v>
      </c>
      <c r="O97" t="s">
        <v>22</v>
      </c>
      <c r="P97">
        <f>Zara_data[[#This Row],[Sales Volume]]*Zara_data[[#This Row],[price]]</f>
        <v>165153.30000000002</v>
      </c>
      <c r="Q97">
        <f>Zara_data[[#This Row],[Revenue]]/Zara_data[[#This Row],[Sales Volume]]</f>
        <v>79.900000000000006</v>
      </c>
    </row>
    <row r="98" spans="1:17" x14ac:dyDescent="0.35">
      <c r="A98">
        <v>183825</v>
      </c>
      <c r="B98" t="s">
        <v>15</v>
      </c>
      <c r="C98" t="s">
        <v>26</v>
      </c>
      <c r="D98" t="s">
        <v>17</v>
      </c>
      <c r="E98" t="s">
        <v>26</v>
      </c>
      <c r="F98" s="4">
        <v>2989</v>
      </c>
      <c r="G98" t="s">
        <v>18</v>
      </c>
      <c r="H98" t="s">
        <v>216</v>
      </c>
      <c r="I98" t="s">
        <v>217</v>
      </c>
      <c r="J98" s="3">
        <v>19.989999999999998</v>
      </c>
      <c r="K98" t="s">
        <v>20</v>
      </c>
      <c r="L98" s="1">
        <v>45341</v>
      </c>
      <c r="M98" s="2">
        <v>0.36922453703703706</v>
      </c>
      <c r="N98" t="s">
        <v>21</v>
      </c>
      <c r="O98" t="s">
        <v>22</v>
      </c>
      <c r="P98">
        <f>Zara_data[[#This Row],[Sales Volume]]*Zara_data[[#This Row],[price]]</f>
        <v>59750.109999999993</v>
      </c>
      <c r="Q98">
        <f>Zara_data[[#This Row],[Revenue]]/Zara_data[[#This Row],[Sales Volume]]</f>
        <v>19.989999999999998</v>
      </c>
    </row>
    <row r="99" spans="1:17" x14ac:dyDescent="0.35">
      <c r="A99">
        <v>144012</v>
      </c>
      <c r="B99" t="s">
        <v>35</v>
      </c>
      <c r="C99" t="s">
        <v>26</v>
      </c>
      <c r="D99" t="s">
        <v>17</v>
      </c>
      <c r="E99" t="s">
        <v>16</v>
      </c>
      <c r="F99" s="4">
        <v>743</v>
      </c>
      <c r="G99" t="s">
        <v>18</v>
      </c>
      <c r="H99" t="s">
        <v>218</v>
      </c>
      <c r="I99" t="s">
        <v>219</v>
      </c>
      <c r="J99" s="3">
        <v>59.9</v>
      </c>
      <c r="K99" t="s">
        <v>20</v>
      </c>
      <c r="L99" s="1">
        <v>45341</v>
      </c>
      <c r="M99" s="2">
        <v>0.36922453703703706</v>
      </c>
      <c r="N99" t="s">
        <v>21</v>
      </c>
      <c r="O99" t="s">
        <v>22</v>
      </c>
      <c r="P99">
        <f>Zara_data[[#This Row],[Sales Volume]]*Zara_data[[#This Row],[price]]</f>
        <v>44505.7</v>
      </c>
      <c r="Q99">
        <f>Zara_data[[#This Row],[Revenue]]/Zara_data[[#This Row],[Sales Volume]]</f>
        <v>59.9</v>
      </c>
    </row>
    <row r="100" spans="1:17" x14ac:dyDescent="0.35">
      <c r="A100">
        <v>147051</v>
      </c>
      <c r="B100" t="s">
        <v>35</v>
      </c>
      <c r="C100" t="s">
        <v>16</v>
      </c>
      <c r="D100" t="s">
        <v>17</v>
      </c>
      <c r="E100" t="s">
        <v>16</v>
      </c>
      <c r="F100" s="4">
        <v>2325</v>
      </c>
      <c r="G100" t="s">
        <v>18</v>
      </c>
      <c r="H100" t="s">
        <v>220</v>
      </c>
      <c r="I100" t="s">
        <v>221</v>
      </c>
      <c r="J100" s="3">
        <v>109</v>
      </c>
      <c r="K100" t="s">
        <v>20</v>
      </c>
      <c r="L100" s="1">
        <v>45341</v>
      </c>
      <c r="M100" s="2">
        <v>0.3692361111111111</v>
      </c>
      <c r="N100" t="s">
        <v>21</v>
      </c>
      <c r="O100" t="s">
        <v>22</v>
      </c>
      <c r="P100">
        <f>Zara_data[[#This Row],[Sales Volume]]*Zara_data[[#This Row],[price]]</f>
        <v>253425</v>
      </c>
      <c r="Q100">
        <f>Zara_data[[#This Row],[Revenue]]/Zara_data[[#This Row],[Sales Volume]]</f>
        <v>109</v>
      </c>
    </row>
    <row r="101" spans="1:17" x14ac:dyDescent="0.35">
      <c r="A101">
        <v>185800</v>
      </c>
      <c r="B101" t="s">
        <v>25</v>
      </c>
      <c r="C101" t="s">
        <v>16</v>
      </c>
      <c r="D101" t="s">
        <v>17</v>
      </c>
      <c r="E101" t="s">
        <v>26</v>
      </c>
      <c r="F101" s="4">
        <v>1841</v>
      </c>
      <c r="G101" t="s">
        <v>18</v>
      </c>
      <c r="H101" t="s">
        <v>222</v>
      </c>
      <c r="I101" t="s">
        <v>223</v>
      </c>
      <c r="J101" s="3">
        <v>109</v>
      </c>
      <c r="K101" t="s">
        <v>20</v>
      </c>
      <c r="L101" s="1">
        <v>45341</v>
      </c>
      <c r="M101" s="2">
        <v>0.3692361111111111</v>
      </c>
      <c r="N101" t="s">
        <v>21</v>
      </c>
      <c r="O101" t="s">
        <v>22</v>
      </c>
      <c r="P101">
        <f>Zara_data[[#This Row],[Sales Volume]]*Zara_data[[#This Row],[price]]</f>
        <v>200669</v>
      </c>
      <c r="Q101">
        <f>Zara_data[[#This Row],[Revenue]]/Zara_data[[#This Row],[Sales Volume]]</f>
        <v>109</v>
      </c>
    </row>
    <row r="102" spans="1:17" x14ac:dyDescent="0.35">
      <c r="A102">
        <v>148823</v>
      </c>
      <c r="B102" t="s">
        <v>15</v>
      </c>
      <c r="C102" t="s">
        <v>16</v>
      </c>
      <c r="D102" t="s">
        <v>17</v>
      </c>
      <c r="E102" t="s">
        <v>26</v>
      </c>
      <c r="F102" s="4">
        <v>2211</v>
      </c>
      <c r="G102" t="s">
        <v>18</v>
      </c>
      <c r="H102" t="s">
        <v>224</v>
      </c>
      <c r="I102" t="s">
        <v>225</v>
      </c>
      <c r="J102" s="3">
        <v>89.9</v>
      </c>
      <c r="K102" t="s">
        <v>20</v>
      </c>
      <c r="L102" s="1">
        <v>45341</v>
      </c>
      <c r="M102" s="2">
        <v>0.37532407407407409</v>
      </c>
      <c r="N102" t="s">
        <v>226</v>
      </c>
      <c r="O102" t="s">
        <v>22</v>
      </c>
      <c r="P102">
        <f>Zara_data[[#This Row],[Sales Volume]]*Zara_data[[#This Row],[price]]</f>
        <v>198768.90000000002</v>
      </c>
      <c r="Q102">
        <f>Zara_data[[#This Row],[Revenue]]/Zara_data[[#This Row],[Sales Volume]]</f>
        <v>89.9</v>
      </c>
    </row>
    <row r="103" spans="1:17" x14ac:dyDescent="0.35">
      <c r="A103">
        <v>114550</v>
      </c>
      <c r="B103" t="s">
        <v>25</v>
      </c>
      <c r="C103" t="s">
        <v>16</v>
      </c>
      <c r="D103" t="s">
        <v>17</v>
      </c>
      <c r="E103" t="s">
        <v>16</v>
      </c>
      <c r="F103" s="4">
        <v>2114</v>
      </c>
      <c r="G103" t="s">
        <v>18</v>
      </c>
      <c r="H103" t="s">
        <v>227</v>
      </c>
      <c r="I103" t="s">
        <v>228</v>
      </c>
      <c r="J103" s="3">
        <v>69.900000000000006</v>
      </c>
      <c r="K103" t="s">
        <v>20</v>
      </c>
      <c r="L103" s="1">
        <v>45341</v>
      </c>
      <c r="M103" s="2">
        <v>0.37533564814814813</v>
      </c>
      <c r="N103" t="s">
        <v>226</v>
      </c>
      <c r="O103" t="s">
        <v>22</v>
      </c>
      <c r="P103">
        <f>Zara_data[[#This Row],[Sales Volume]]*Zara_data[[#This Row],[price]]</f>
        <v>147768.6</v>
      </c>
      <c r="Q103">
        <f>Zara_data[[#This Row],[Revenue]]/Zara_data[[#This Row],[Sales Volume]]</f>
        <v>69.900000000000006</v>
      </c>
    </row>
    <row r="104" spans="1:17" x14ac:dyDescent="0.35">
      <c r="A104">
        <v>125398</v>
      </c>
      <c r="B104" t="s">
        <v>15</v>
      </c>
      <c r="C104" t="s">
        <v>26</v>
      </c>
      <c r="D104" t="s">
        <v>17</v>
      </c>
      <c r="E104" t="s">
        <v>26</v>
      </c>
      <c r="F104" s="4">
        <v>1350</v>
      </c>
      <c r="G104" t="s">
        <v>18</v>
      </c>
      <c r="H104" t="s">
        <v>229</v>
      </c>
      <c r="I104" t="s">
        <v>230</v>
      </c>
      <c r="J104" s="3">
        <v>69.900000000000006</v>
      </c>
      <c r="K104" t="s">
        <v>20</v>
      </c>
      <c r="L104" s="1">
        <v>45341</v>
      </c>
      <c r="M104" s="2">
        <v>0.37534722222222222</v>
      </c>
      <c r="N104" t="s">
        <v>226</v>
      </c>
      <c r="O104" t="s">
        <v>22</v>
      </c>
      <c r="P104">
        <f>Zara_data[[#This Row],[Sales Volume]]*Zara_data[[#This Row],[price]]</f>
        <v>94365.000000000015</v>
      </c>
      <c r="Q104">
        <f>Zara_data[[#This Row],[Revenue]]/Zara_data[[#This Row],[Sales Volume]]</f>
        <v>69.900000000000006</v>
      </c>
    </row>
    <row r="105" spans="1:17" x14ac:dyDescent="0.35">
      <c r="A105">
        <v>123985</v>
      </c>
      <c r="B105" t="s">
        <v>25</v>
      </c>
      <c r="C105" t="s">
        <v>16</v>
      </c>
      <c r="D105" t="s">
        <v>17</v>
      </c>
      <c r="E105" t="s">
        <v>16</v>
      </c>
      <c r="F105" s="4">
        <v>2240</v>
      </c>
      <c r="G105" t="s">
        <v>18</v>
      </c>
      <c r="H105" t="s">
        <v>231</v>
      </c>
      <c r="I105" t="s">
        <v>232</v>
      </c>
      <c r="J105" s="3">
        <v>69.900000000000006</v>
      </c>
      <c r="K105" t="s">
        <v>20</v>
      </c>
      <c r="L105" s="1">
        <v>45341</v>
      </c>
      <c r="M105" s="2">
        <v>0.37534722222222222</v>
      </c>
      <c r="N105" t="s">
        <v>226</v>
      </c>
      <c r="O105" t="s">
        <v>22</v>
      </c>
      <c r="P105">
        <f>Zara_data[[#This Row],[Sales Volume]]*Zara_data[[#This Row],[price]]</f>
        <v>156576</v>
      </c>
      <c r="Q105">
        <f>Zara_data[[#This Row],[Revenue]]/Zara_data[[#This Row],[Sales Volume]]</f>
        <v>69.900000000000006</v>
      </c>
    </row>
    <row r="106" spans="1:17" x14ac:dyDescent="0.35">
      <c r="A106">
        <v>186638</v>
      </c>
      <c r="B106" t="s">
        <v>25</v>
      </c>
      <c r="C106" t="s">
        <v>26</v>
      </c>
      <c r="D106" t="s">
        <v>17</v>
      </c>
      <c r="E106" t="s">
        <v>16</v>
      </c>
      <c r="F106" s="4">
        <v>1296</v>
      </c>
      <c r="G106" t="s">
        <v>18</v>
      </c>
      <c r="H106" t="s">
        <v>233</v>
      </c>
      <c r="I106" t="s">
        <v>234</v>
      </c>
      <c r="J106" s="3">
        <v>59.9</v>
      </c>
      <c r="K106" t="s">
        <v>20</v>
      </c>
      <c r="L106" s="1">
        <v>45341</v>
      </c>
      <c r="M106" s="2">
        <v>0.37535879629629632</v>
      </c>
      <c r="N106" t="s">
        <v>226</v>
      </c>
      <c r="O106" t="s">
        <v>22</v>
      </c>
      <c r="P106">
        <f>Zara_data[[#This Row],[Sales Volume]]*Zara_data[[#This Row],[price]]</f>
        <v>77630.399999999994</v>
      </c>
      <c r="Q106">
        <f>Zara_data[[#This Row],[Revenue]]/Zara_data[[#This Row],[Sales Volume]]</f>
        <v>59.9</v>
      </c>
    </row>
    <row r="107" spans="1:17" x14ac:dyDescent="0.35">
      <c r="A107">
        <v>167281</v>
      </c>
      <c r="B107" t="s">
        <v>25</v>
      </c>
      <c r="C107" t="s">
        <v>26</v>
      </c>
      <c r="D107" t="s">
        <v>17</v>
      </c>
      <c r="E107" t="s">
        <v>26</v>
      </c>
      <c r="F107" s="4">
        <v>892</v>
      </c>
      <c r="G107" t="s">
        <v>18</v>
      </c>
      <c r="H107" t="s">
        <v>235</v>
      </c>
      <c r="I107" t="s">
        <v>236</v>
      </c>
      <c r="J107" s="3">
        <v>59.9</v>
      </c>
      <c r="K107" t="s">
        <v>20</v>
      </c>
      <c r="L107" s="1">
        <v>45341</v>
      </c>
      <c r="M107" s="2">
        <v>0.37537037037037035</v>
      </c>
      <c r="N107" t="s">
        <v>226</v>
      </c>
      <c r="O107" t="s">
        <v>22</v>
      </c>
      <c r="P107">
        <f>Zara_data[[#This Row],[Sales Volume]]*Zara_data[[#This Row],[price]]</f>
        <v>53430.799999999996</v>
      </c>
      <c r="Q107">
        <f>Zara_data[[#This Row],[Revenue]]/Zara_data[[#This Row],[Sales Volume]]</f>
        <v>59.9</v>
      </c>
    </row>
    <row r="108" spans="1:17" x14ac:dyDescent="0.35">
      <c r="A108">
        <v>118578</v>
      </c>
      <c r="B108" t="s">
        <v>25</v>
      </c>
      <c r="C108" t="s">
        <v>16</v>
      </c>
      <c r="D108" t="s">
        <v>17</v>
      </c>
      <c r="E108" t="s">
        <v>26</v>
      </c>
      <c r="F108" s="4">
        <v>1678</v>
      </c>
      <c r="G108" t="s">
        <v>18</v>
      </c>
      <c r="H108" t="s">
        <v>237</v>
      </c>
      <c r="I108" t="s">
        <v>238</v>
      </c>
      <c r="J108" s="3">
        <v>49.9</v>
      </c>
      <c r="K108" t="s">
        <v>20</v>
      </c>
      <c r="L108" s="1">
        <v>45341</v>
      </c>
      <c r="M108" s="2">
        <v>0.37537037037037035</v>
      </c>
      <c r="N108" t="s">
        <v>226</v>
      </c>
      <c r="O108" t="s">
        <v>22</v>
      </c>
      <c r="P108">
        <f>Zara_data[[#This Row],[Sales Volume]]*Zara_data[[#This Row],[price]]</f>
        <v>83732.2</v>
      </c>
      <c r="Q108">
        <f>Zara_data[[#This Row],[Revenue]]/Zara_data[[#This Row],[Sales Volume]]</f>
        <v>49.9</v>
      </c>
    </row>
    <row r="109" spans="1:17" x14ac:dyDescent="0.35">
      <c r="A109">
        <v>174041</v>
      </c>
      <c r="B109" t="s">
        <v>25</v>
      </c>
      <c r="C109" t="s">
        <v>16</v>
      </c>
      <c r="D109" t="s">
        <v>17</v>
      </c>
      <c r="E109" t="s">
        <v>16</v>
      </c>
      <c r="F109" s="4">
        <v>2016</v>
      </c>
      <c r="G109" t="s">
        <v>18</v>
      </c>
      <c r="H109" t="s">
        <v>239</v>
      </c>
      <c r="I109" t="s">
        <v>240</v>
      </c>
      <c r="J109" s="3">
        <v>49.9</v>
      </c>
      <c r="K109" t="s">
        <v>20</v>
      </c>
      <c r="L109" s="1">
        <v>45341</v>
      </c>
      <c r="M109" s="2">
        <v>0.37538194444444445</v>
      </c>
      <c r="N109" t="s">
        <v>226</v>
      </c>
      <c r="O109" t="s">
        <v>22</v>
      </c>
      <c r="P109">
        <f>Zara_data[[#This Row],[Sales Volume]]*Zara_data[[#This Row],[price]]</f>
        <v>100598.39999999999</v>
      </c>
      <c r="Q109">
        <f>Zara_data[[#This Row],[Revenue]]/Zara_data[[#This Row],[Sales Volume]]</f>
        <v>49.9</v>
      </c>
    </row>
    <row r="110" spans="1:17" x14ac:dyDescent="0.35">
      <c r="A110">
        <v>127644</v>
      </c>
      <c r="B110" t="s">
        <v>35</v>
      </c>
      <c r="C110" t="s">
        <v>16</v>
      </c>
      <c r="D110" t="s">
        <v>17</v>
      </c>
      <c r="E110" t="s">
        <v>26</v>
      </c>
      <c r="F110" s="4">
        <v>1498</v>
      </c>
      <c r="G110" t="s">
        <v>18</v>
      </c>
      <c r="H110" t="s">
        <v>241</v>
      </c>
      <c r="I110" t="s">
        <v>242</v>
      </c>
      <c r="J110" s="3">
        <v>45.9</v>
      </c>
      <c r="K110" t="s">
        <v>20</v>
      </c>
      <c r="L110" s="1">
        <v>45341</v>
      </c>
      <c r="M110" s="2">
        <v>0.37539351851851854</v>
      </c>
      <c r="N110" t="s">
        <v>226</v>
      </c>
      <c r="O110" t="s">
        <v>22</v>
      </c>
      <c r="P110">
        <f>Zara_data[[#This Row],[Sales Volume]]*Zara_data[[#This Row],[price]]</f>
        <v>68758.2</v>
      </c>
      <c r="Q110">
        <f>Zara_data[[#This Row],[Revenue]]/Zara_data[[#This Row],[Sales Volume]]</f>
        <v>45.9</v>
      </c>
    </row>
    <row r="111" spans="1:17" x14ac:dyDescent="0.35">
      <c r="A111">
        <v>132007</v>
      </c>
      <c r="B111" t="s">
        <v>15</v>
      </c>
      <c r="C111" t="s">
        <v>16</v>
      </c>
      <c r="D111" t="s">
        <v>17</v>
      </c>
      <c r="E111" t="s">
        <v>26</v>
      </c>
      <c r="F111" s="4">
        <v>2491</v>
      </c>
      <c r="G111" t="s">
        <v>18</v>
      </c>
      <c r="H111" t="s">
        <v>243</v>
      </c>
      <c r="I111" t="s">
        <v>244</v>
      </c>
      <c r="J111" s="3">
        <v>9.99</v>
      </c>
      <c r="K111" t="s">
        <v>20</v>
      </c>
      <c r="L111" s="1">
        <v>45341</v>
      </c>
      <c r="M111" s="2">
        <v>0.37539351851851854</v>
      </c>
      <c r="N111" t="s">
        <v>226</v>
      </c>
      <c r="O111" t="s">
        <v>22</v>
      </c>
      <c r="P111">
        <f>Zara_data[[#This Row],[Sales Volume]]*Zara_data[[#This Row],[price]]</f>
        <v>24885.09</v>
      </c>
      <c r="Q111">
        <f>Zara_data[[#This Row],[Revenue]]/Zara_data[[#This Row],[Sales Volume]]</f>
        <v>9.99</v>
      </c>
    </row>
    <row r="112" spans="1:17" x14ac:dyDescent="0.35">
      <c r="A112">
        <v>147998</v>
      </c>
      <c r="B112" t="s">
        <v>15</v>
      </c>
      <c r="C112" t="s">
        <v>16</v>
      </c>
      <c r="D112" t="s">
        <v>17</v>
      </c>
      <c r="E112" t="s">
        <v>16</v>
      </c>
      <c r="F112" s="4">
        <v>2556</v>
      </c>
      <c r="G112" t="s">
        <v>18</v>
      </c>
      <c r="H112" t="s">
        <v>245</v>
      </c>
      <c r="I112" t="s">
        <v>246</v>
      </c>
      <c r="J112" s="3">
        <v>9.99</v>
      </c>
      <c r="K112" t="s">
        <v>20</v>
      </c>
      <c r="L112" s="1">
        <v>45341</v>
      </c>
      <c r="M112" s="2">
        <v>0.37541666666666668</v>
      </c>
      <c r="N112" t="s">
        <v>226</v>
      </c>
      <c r="O112" t="s">
        <v>22</v>
      </c>
      <c r="P112">
        <f>Zara_data[[#This Row],[Sales Volume]]*Zara_data[[#This Row],[price]]</f>
        <v>25534.440000000002</v>
      </c>
      <c r="Q112">
        <f>Zara_data[[#This Row],[Revenue]]/Zara_data[[#This Row],[Sales Volume]]</f>
        <v>9.99</v>
      </c>
    </row>
    <row r="113" spans="1:17" x14ac:dyDescent="0.35">
      <c r="A113">
        <v>176666</v>
      </c>
      <c r="B113" t="s">
        <v>15</v>
      </c>
      <c r="C113" t="s">
        <v>26</v>
      </c>
      <c r="D113" t="s">
        <v>17</v>
      </c>
      <c r="E113" t="s">
        <v>16</v>
      </c>
      <c r="F113" s="4">
        <v>2852</v>
      </c>
      <c r="G113" t="s">
        <v>18</v>
      </c>
      <c r="H113" t="s">
        <v>247</v>
      </c>
      <c r="I113" t="s">
        <v>248</v>
      </c>
      <c r="J113" s="3">
        <v>45.9</v>
      </c>
      <c r="K113" t="s">
        <v>20</v>
      </c>
      <c r="L113" s="1">
        <v>45341</v>
      </c>
      <c r="M113" s="2">
        <v>0.37542824074074072</v>
      </c>
      <c r="N113" t="s">
        <v>226</v>
      </c>
      <c r="O113" t="s">
        <v>22</v>
      </c>
      <c r="P113">
        <f>Zara_data[[#This Row],[Sales Volume]]*Zara_data[[#This Row],[price]]</f>
        <v>130906.8</v>
      </c>
      <c r="Q113">
        <f>Zara_data[[#This Row],[Revenue]]/Zara_data[[#This Row],[Sales Volume]]</f>
        <v>45.9</v>
      </c>
    </row>
    <row r="114" spans="1:17" x14ac:dyDescent="0.35">
      <c r="A114">
        <v>193686</v>
      </c>
      <c r="B114" t="s">
        <v>15</v>
      </c>
      <c r="C114" t="s">
        <v>26</v>
      </c>
      <c r="D114" t="s">
        <v>17</v>
      </c>
      <c r="E114" t="s">
        <v>16</v>
      </c>
      <c r="F114" s="4">
        <v>1899</v>
      </c>
      <c r="G114" t="s">
        <v>18</v>
      </c>
      <c r="H114" t="s">
        <v>249</v>
      </c>
      <c r="I114" t="s">
        <v>250</v>
      </c>
      <c r="J114" s="3">
        <v>99.9</v>
      </c>
      <c r="K114" t="s">
        <v>20</v>
      </c>
      <c r="L114" s="1">
        <v>45341</v>
      </c>
      <c r="M114" s="2">
        <v>0.37542824074074072</v>
      </c>
      <c r="N114" t="s">
        <v>226</v>
      </c>
      <c r="O114" t="s">
        <v>22</v>
      </c>
      <c r="P114">
        <f>Zara_data[[#This Row],[Sales Volume]]*Zara_data[[#This Row],[price]]</f>
        <v>189710.1</v>
      </c>
      <c r="Q114">
        <f>Zara_data[[#This Row],[Revenue]]/Zara_data[[#This Row],[Sales Volume]]</f>
        <v>99.9</v>
      </c>
    </row>
    <row r="115" spans="1:17" x14ac:dyDescent="0.35">
      <c r="A115">
        <v>163610</v>
      </c>
      <c r="B115" t="s">
        <v>35</v>
      </c>
      <c r="C115" t="s">
        <v>26</v>
      </c>
      <c r="D115" t="s">
        <v>17</v>
      </c>
      <c r="E115" t="s">
        <v>16</v>
      </c>
      <c r="F115" s="4">
        <v>2466</v>
      </c>
      <c r="G115" t="s">
        <v>18</v>
      </c>
      <c r="H115" t="s">
        <v>251</v>
      </c>
      <c r="I115" t="s">
        <v>252</v>
      </c>
      <c r="J115" s="3">
        <v>89.9</v>
      </c>
      <c r="K115" t="s">
        <v>20</v>
      </c>
      <c r="L115" s="1">
        <v>45341</v>
      </c>
      <c r="M115" s="2">
        <v>0.37543981481481481</v>
      </c>
      <c r="N115" t="s">
        <v>226</v>
      </c>
      <c r="O115" t="s">
        <v>22</v>
      </c>
      <c r="P115">
        <f>Zara_data[[#This Row],[Sales Volume]]*Zara_data[[#This Row],[price]]</f>
        <v>221693.40000000002</v>
      </c>
      <c r="Q115">
        <f>Zara_data[[#This Row],[Revenue]]/Zara_data[[#This Row],[Sales Volume]]</f>
        <v>89.9</v>
      </c>
    </row>
    <row r="116" spans="1:17" x14ac:dyDescent="0.35">
      <c r="A116">
        <v>170364</v>
      </c>
      <c r="B116" t="s">
        <v>15</v>
      </c>
      <c r="C116" t="s">
        <v>16</v>
      </c>
      <c r="D116" t="s">
        <v>17</v>
      </c>
      <c r="E116" t="s">
        <v>16</v>
      </c>
      <c r="F116" s="4">
        <v>818</v>
      </c>
      <c r="G116" t="s">
        <v>18</v>
      </c>
      <c r="H116" t="s">
        <v>253</v>
      </c>
      <c r="I116" t="s">
        <v>254</v>
      </c>
      <c r="J116" s="3">
        <v>45.9</v>
      </c>
      <c r="K116" t="s">
        <v>20</v>
      </c>
      <c r="L116" s="1">
        <v>45341</v>
      </c>
      <c r="M116" s="2">
        <v>0.3754513888888889</v>
      </c>
      <c r="N116" t="s">
        <v>226</v>
      </c>
      <c r="O116" t="s">
        <v>22</v>
      </c>
      <c r="P116">
        <f>Zara_data[[#This Row],[Sales Volume]]*Zara_data[[#This Row],[price]]</f>
        <v>37546.199999999997</v>
      </c>
      <c r="Q116">
        <f>Zara_data[[#This Row],[Revenue]]/Zara_data[[#This Row],[Sales Volume]]</f>
        <v>45.9</v>
      </c>
    </row>
    <row r="117" spans="1:17" x14ac:dyDescent="0.35">
      <c r="A117">
        <v>167599</v>
      </c>
      <c r="B117" t="s">
        <v>15</v>
      </c>
      <c r="C117" t="s">
        <v>16</v>
      </c>
      <c r="D117" t="s">
        <v>17</v>
      </c>
      <c r="E117" t="s">
        <v>16</v>
      </c>
      <c r="F117" s="4">
        <v>1500</v>
      </c>
      <c r="G117" t="s">
        <v>18</v>
      </c>
      <c r="H117" t="s">
        <v>255</v>
      </c>
      <c r="I117" t="s">
        <v>256</v>
      </c>
      <c r="J117" s="3">
        <v>59.9</v>
      </c>
      <c r="K117" t="s">
        <v>20</v>
      </c>
      <c r="L117" s="1">
        <v>45341</v>
      </c>
      <c r="M117" s="2">
        <v>0.37546296296296294</v>
      </c>
      <c r="N117" t="s">
        <v>226</v>
      </c>
      <c r="O117" t="s">
        <v>22</v>
      </c>
      <c r="P117">
        <f>Zara_data[[#This Row],[Sales Volume]]*Zara_data[[#This Row],[price]]</f>
        <v>89850</v>
      </c>
      <c r="Q117">
        <f>Zara_data[[#This Row],[Revenue]]/Zara_data[[#This Row],[Sales Volume]]</f>
        <v>59.9</v>
      </c>
    </row>
    <row r="118" spans="1:17" x14ac:dyDescent="0.35">
      <c r="A118">
        <v>166421</v>
      </c>
      <c r="B118" t="s">
        <v>25</v>
      </c>
      <c r="C118" t="s">
        <v>26</v>
      </c>
      <c r="D118" t="s">
        <v>17</v>
      </c>
      <c r="E118" t="s">
        <v>16</v>
      </c>
      <c r="F118" s="4">
        <v>2878</v>
      </c>
      <c r="G118" t="s">
        <v>18</v>
      </c>
      <c r="H118" t="s">
        <v>257</v>
      </c>
      <c r="I118" t="s">
        <v>258</v>
      </c>
      <c r="J118" s="3">
        <v>79.900000000000006</v>
      </c>
      <c r="K118" t="s">
        <v>20</v>
      </c>
      <c r="L118" s="1">
        <v>45341</v>
      </c>
      <c r="M118" s="2">
        <v>0.37547453703703704</v>
      </c>
      <c r="N118" t="s">
        <v>226</v>
      </c>
      <c r="O118" t="s">
        <v>22</v>
      </c>
      <c r="P118">
        <f>Zara_data[[#This Row],[Sales Volume]]*Zara_data[[#This Row],[price]]</f>
        <v>229952.2</v>
      </c>
      <c r="Q118">
        <f>Zara_data[[#This Row],[Revenue]]/Zara_data[[#This Row],[Sales Volume]]</f>
        <v>79.900000000000006</v>
      </c>
    </row>
    <row r="119" spans="1:17" x14ac:dyDescent="0.35">
      <c r="A119">
        <v>129247</v>
      </c>
      <c r="B119" t="s">
        <v>35</v>
      </c>
      <c r="C119" t="s">
        <v>26</v>
      </c>
      <c r="D119" t="s">
        <v>17</v>
      </c>
      <c r="E119" t="s">
        <v>16</v>
      </c>
      <c r="F119" s="4">
        <v>2386</v>
      </c>
      <c r="G119" t="s">
        <v>18</v>
      </c>
      <c r="H119" t="s">
        <v>259</v>
      </c>
      <c r="I119" t="s">
        <v>260</v>
      </c>
      <c r="J119" s="3">
        <v>69.900000000000006</v>
      </c>
      <c r="K119" t="s">
        <v>20</v>
      </c>
      <c r="L119" s="1">
        <v>45341</v>
      </c>
      <c r="M119" s="2">
        <v>0.37548611111111113</v>
      </c>
      <c r="N119" t="s">
        <v>226</v>
      </c>
      <c r="O119" t="s">
        <v>22</v>
      </c>
      <c r="P119">
        <f>Zara_data[[#This Row],[Sales Volume]]*Zara_data[[#This Row],[price]]</f>
        <v>166781.40000000002</v>
      </c>
      <c r="Q119">
        <f>Zara_data[[#This Row],[Revenue]]/Zara_data[[#This Row],[Sales Volume]]</f>
        <v>69.900000000000006</v>
      </c>
    </row>
    <row r="120" spans="1:17" x14ac:dyDescent="0.35">
      <c r="A120">
        <v>127314</v>
      </c>
      <c r="B120" t="s">
        <v>25</v>
      </c>
      <c r="C120" t="s">
        <v>26</v>
      </c>
      <c r="D120" t="s">
        <v>17</v>
      </c>
      <c r="E120" t="s">
        <v>26</v>
      </c>
      <c r="F120" s="4">
        <v>2076</v>
      </c>
      <c r="G120" t="s">
        <v>18</v>
      </c>
      <c r="H120" t="s">
        <v>261</v>
      </c>
      <c r="I120" t="s">
        <v>262</v>
      </c>
      <c r="J120" s="3">
        <v>99.9</v>
      </c>
      <c r="K120" t="s">
        <v>20</v>
      </c>
      <c r="L120" s="1">
        <v>45341</v>
      </c>
      <c r="M120" s="2">
        <v>0.37549768518518517</v>
      </c>
      <c r="N120" t="s">
        <v>226</v>
      </c>
      <c r="O120" t="s">
        <v>22</v>
      </c>
      <c r="P120">
        <f>Zara_data[[#This Row],[Sales Volume]]*Zara_data[[#This Row],[price]]</f>
        <v>207392.40000000002</v>
      </c>
      <c r="Q120">
        <f>Zara_data[[#This Row],[Revenue]]/Zara_data[[#This Row],[Sales Volume]]</f>
        <v>99.9</v>
      </c>
    </row>
    <row r="121" spans="1:17" x14ac:dyDescent="0.35">
      <c r="A121">
        <v>111979</v>
      </c>
      <c r="B121" t="s">
        <v>35</v>
      </c>
      <c r="C121" t="s">
        <v>16</v>
      </c>
      <c r="D121" t="s">
        <v>17</v>
      </c>
      <c r="E121" t="s">
        <v>16</v>
      </c>
      <c r="F121" s="4">
        <v>2734</v>
      </c>
      <c r="G121" t="s">
        <v>18</v>
      </c>
      <c r="H121" t="s">
        <v>263</v>
      </c>
      <c r="I121" t="s">
        <v>264</v>
      </c>
      <c r="J121" s="3">
        <v>59.9</v>
      </c>
      <c r="K121" t="s">
        <v>20</v>
      </c>
      <c r="L121" s="1">
        <v>45341</v>
      </c>
      <c r="M121" s="2">
        <v>0.37549768518518517</v>
      </c>
      <c r="N121" t="s">
        <v>226</v>
      </c>
      <c r="O121" t="s">
        <v>22</v>
      </c>
      <c r="P121">
        <f>Zara_data[[#This Row],[Sales Volume]]*Zara_data[[#This Row],[price]]</f>
        <v>163766.6</v>
      </c>
      <c r="Q121">
        <f>Zara_data[[#This Row],[Revenue]]/Zara_data[[#This Row],[Sales Volume]]</f>
        <v>59.9</v>
      </c>
    </row>
    <row r="122" spans="1:17" x14ac:dyDescent="0.35">
      <c r="A122">
        <v>120354</v>
      </c>
      <c r="B122" t="s">
        <v>15</v>
      </c>
      <c r="C122" t="s">
        <v>26</v>
      </c>
      <c r="D122" t="s">
        <v>17</v>
      </c>
      <c r="E122" t="s">
        <v>16</v>
      </c>
      <c r="F122" s="4">
        <v>2836</v>
      </c>
      <c r="G122" t="s">
        <v>18</v>
      </c>
      <c r="H122" t="s">
        <v>265</v>
      </c>
      <c r="I122" t="s">
        <v>266</v>
      </c>
      <c r="J122" s="3">
        <v>59.9</v>
      </c>
      <c r="K122" t="s">
        <v>20</v>
      </c>
      <c r="L122" s="1">
        <v>45341</v>
      </c>
      <c r="M122" s="2">
        <v>0.37550925925925926</v>
      </c>
      <c r="N122" t="s">
        <v>226</v>
      </c>
      <c r="O122" t="s">
        <v>22</v>
      </c>
      <c r="P122">
        <f>Zara_data[[#This Row],[Sales Volume]]*Zara_data[[#This Row],[price]]</f>
        <v>169876.4</v>
      </c>
      <c r="Q122">
        <f>Zara_data[[#This Row],[Revenue]]/Zara_data[[#This Row],[Sales Volume]]</f>
        <v>59.9</v>
      </c>
    </row>
    <row r="123" spans="1:17" x14ac:dyDescent="0.35">
      <c r="A123">
        <v>144848</v>
      </c>
      <c r="B123" t="s">
        <v>35</v>
      </c>
      <c r="C123" t="s">
        <v>16</v>
      </c>
      <c r="D123" t="s">
        <v>17</v>
      </c>
      <c r="E123" t="s">
        <v>16</v>
      </c>
      <c r="F123" s="4">
        <v>2193</v>
      </c>
      <c r="G123" t="s">
        <v>18</v>
      </c>
      <c r="H123" t="s">
        <v>267</v>
      </c>
      <c r="I123" t="s">
        <v>268</v>
      </c>
      <c r="J123" s="3">
        <v>89.9</v>
      </c>
      <c r="K123" t="s">
        <v>20</v>
      </c>
      <c r="L123" s="1">
        <v>45341</v>
      </c>
      <c r="M123" s="2">
        <v>0.37552083333333336</v>
      </c>
      <c r="N123" t="s">
        <v>226</v>
      </c>
      <c r="O123" t="s">
        <v>22</v>
      </c>
      <c r="P123">
        <f>Zara_data[[#This Row],[Sales Volume]]*Zara_data[[#This Row],[price]]</f>
        <v>197150.7</v>
      </c>
      <c r="Q123">
        <f>Zara_data[[#This Row],[Revenue]]/Zara_data[[#This Row],[Sales Volume]]</f>
        <v>89.9</v>
      </c>
    </row>
    <row r="124" spans="1:17" x14ac:dyDescent="0.35">
      <c r="A124">
        <v>111957</v>
      </c>
      <c r="B124" t="s">
        <v>15</v>
      </c>
      <c r="C124" t="s">
        <v>26</v>
      </c>
      <c r="D124" t="s">
        <v>17</v>
      </c>
      <c r="E124" t="s">
        <v>16</v>
      </c>
      <c r="F124" s="4">
        <v>2164</v>
      </c>
      <c r="G124" t="s">
        <v>18</v>
      </c>
      <c r="H124" t="s">
        <v>269</v>
      </c>
      <c r="I124" t="s">
        <v>270</v>
      </c>
      <c r="J124" s="3">
        <v>89.9</v>
      </c>
      <c r="K124" t="s">
        <v>20</v>
      </c>
      <c r="L124" s="1">
        <v>45341</v>
      </c>
      <c r="M124" s="2">
        <v>0.3755324074074074</v>
      </c>
      <c r="N124" t="s">
        <v>226</v>
      </c>
      <c r="O124" t="s">
        <v>22</v>
      </c>
      <c r="P124">
        <f>Zara_data[[#This Row],[Sales Volume]]*Zara_data[[#This Row],[price]]</f>
        <v>194543.6</v>
      </c>
      <c r="Q124">
        <f>Zara_data[[#This Row],[Revenue]]/Zara_data[[#This Row],[Sales Volume]]</f>
        <v>89.9</v>
      </c>
    </row>
    <row r="125" spans="1:17" x14ac:dyDescent="0.35">
      <c r="A125">
        <v>160763</v>
      </c>
      <c r="B125" t="s">
        <v>35</v>
      </c>
      <c r="C125" t="s">
        <v>26</v>
      </c>
      <c r="D125" t="s">
        <v>17</v>
      </c>
      <c r="E125" t="s">
        <v>26</v>
      </c>
      <c r="F125" s="4">
        <v>991</v>
      </c>
      <c r="G125" t="s">
        <v>18</v>
      </c>
      <c r="H125" t="s">
        <v>271</v>
      </c>
      <c r="I125" t="s">
        <v>272</v>
      </c>
      <c r="J125" s="3">
        <v>45.9</v>
      </c>
      <c r="K125" t="s">
        <v>20</v>
      </c>
      <c r="L125" s="1">
        <v>45341</v>
      </c>
      <c r="M125" s="2">
        <v>0.37554398148148149</v>
      </c>
      <c r="N125" t="s">
        <v>226</v>
      </c>
      <c r="O125" t="s">
        <v>22</v>
      </c>
      <c r="P125">
        <f>Zara_data[[#This Row],[Sales Volume]]*Zara_data[[#This Row],[price]]</f>
        <v>45486.9</v>
      </c>
      <c r="Q125">
        <f>Zara_data[[#This Row],[Revenue]]/Zara_data[[#This Row],[Sales Volume]]</f>
        <v>45.9</v>
      </c>
    </row>
    <row r="126" spans="1:17" x14ac:dyDescent="0.35">
      <c r="A126">
        <v>195082</v>
      </c>
      <c r="B126" t="s">
        <v>35</v>
      </c>
      <c r="C126" t="s">
        <v>16</v>
      </c>
      <c r="D126" t="s">
        <v>17</v>
      </c>
      <c r="E126" t="s">
        <v>16</v>
      </c>
      <c r="F126" s="4">
        <v>923</v>
      </c>
      <c r="G126" t="s">
        <v>18</v>
      </c>
      <c r="H126" t="s">
        <v>273</v>
      </c>
      <c r="I126" t="s">
        <v>274</v>
      </c>
      <c r="J126" s="3">
        <v>69.900000000000006</v>
      </c>
      <c r="K126" t="s">
        <v>20</v>
      </c>
      <c r="L126" s="1">
        <v>45341</v>
      </c>
      <c r="M126" s="2">
        <v>0.37555555555555553</v>
      </c>
      <c r="N126" t="s">
        <v>226</v>
      </c>
      <c r="O126" t="s">
        <v>22</v>
      </c>
      <c r="P126">
        <f>Zara_data[[#This Row],[Sales Volume]]*Zara_data[[#This Row],[price]]</f>
        <v>64517.700000000004</v>
      </c>
      <c r="Q126">
        <f>Zara_data[[#This Row],[Revenue]]/Zara_data[[#This Row],[Sales Volume]]</f>
        <v>69.900000000000006</v>
      </c>
    </row>
    <row r="127" spans="1:17" x14ac:dyDescent="0.35">
      <c r="A127">
        <v>110329</v>
      </c>
      <c r="B127" t="s">
        <v>35</v>
      </c>
      <c r="C127" t="s">
        <v>16</v>
      </c>
      <c r="D127" t="s">
        <v>17</v>
      </c>
      <c r="E127" t="s">
        <v>26</v>
      </c>
      <c r="F127" s="4">
        <v>2397</v>
      </c>
      <c r="G127" t="s">
        <v>18</v>
      </c>
      <c r="H127" t="s">
        <v>275</v>
      </c>
      <c r="I127" t="s">
        <v>276</v>
      </c>
      <c r="J127" s="3">
        <v>69.900000000000006</v>
      </c>
      <c r="K127" t="s">
        <v>20</v>
      </c>
      <c r="L127" s="1">
        <v>45341</v>
      </c>
      <c r="M127" s="2">
        <v>0.37555555555555553</v>
      </c>
      <c r="N127" t="s">
        <v>226</v>
      </c>
      <c r="O127" t="s">
        <v>22</v>
      </c>
      <c r="P127">
        <f>Zara_data[[#This Row],[Sales Volume]]*Zara_data[[#This Row],[price]]</f>
        <v>167550.30000000002</v>
      </c>
      <c r="Q127">
        <f>Zara_data[[#This Row],[Revenue]]/Zara_data[[#This Row],[Sales Volume]]</f>
        <v>69.900000000000006</v>
      </c>
    </row>
    <row r="128" spans="1:17" x14ac:dyDescent="0.35">
      <c r="A128">
        <v>147449</v>
      </c>
      <c r="B128" t="s">
        <v>25</v>
      </c>
      <c r="C128" t="s">
        <v>16</v>
      </c>
      <c r="D128" t="s">
        <v>17</v>
      </c>
      <c r="E128" t="s">
        <v>16</v>
      </c>
      <c r="F128" s="4">
        <v>1191</v>
      </c>
      <c r="G128" t="s">
        <v>18</v>
      </c>
      <c r="H128" t="s">
        <v>277</v>
      </c>
      <c r="I128" t="s">
        <v>278</v>
      </c>
      <c r="J128" s="3">
        <v>69.900000000000006</v>
      </c>
      <c r="K128" t="s">
        <v>20</v>
      </c>
      <c r="L128" s="1">
        <v>45341</v>
      </c>
      <c r="M128" s="2">
        <v>0.37556712962962963</v>
      </c>
      <c r="N128" t="s">
        <v>226</v>
      </c>
      <c r="O128" t="s">
        <v>22</v>
      </c>
      <c r="P128">
        <f>Zara_data[[#This Row],[Sales Volume]]*Zara_data[[#This Row],[price]]</f>
        <v>83250.900000000009</v>
      </c>
      <c r="Q128">
        <f>Zara_data[[#This Row],[Revenue]]/Zara_data[[#This Row],[Sales Volume]]</f>
        <v>69.900000000000006</v>
      </c>
    </row>
    <row r="129" spans="1:17" x14ac:dyDescent="0.35">
      <c r="A129">
        <v>193332</v>
      </c>
      <c r="B129" t="s">
        <v>15</v>
      </c>
      <c r="C129" t="s">
        <v>26</v>
      </c>
      <c r="D129" t="s">
        <v>17</v>
      </c>
      <c r="E129" t="s">
        <v>16</v>
      </c>
      <c r="F129" s="4">
        <v>1237</v>
      </c>
      <c r="G129" t="s">
        <v>18</v>
      </c>
      <c r="H129" t="s">
        <v>279</v>
      </c>
      <c r="I129" t="s">
        <v>280</v>
      </c>
      <c r="J129" s="3">
        <v>49.9</v>
      </c>
      <c r="K129" t="s">
        <v>20</v>
      </c>
      <c r="L129" s="1">
        <v>45341</v>
      </c>
      <c r="M129" s="2">
        <v>0.37556712962962963</v>
      </c>
      <c r="N129" t="s">
        <v>226</v>
      </c>
      <c r="O129" t="s">
        <v>22</v>
      </c>
      <c r="P129">
        <f>Zara_data[[#This Row],[Sales Volume]]*Zara_data[[#This Row],[price]]</f>
        <v>61726.299999999996</v>
      </c>
      <c r="Q129">
        <f>Zara_data[[#This Row],[Revenue]]/Zara_data[[#This Row],[Sales Volume]]</f>
        <v>49.9</v>
      </c>
    </row>
    <row r="130" spans="1:17" x14ac:dyDescent="0.35">
      <c r="A130">
        <v>188909</v>
      </c>
      <c r="B130" t="s">
        <v>15</v>
      </c>
      <c r="C130" t="s">
        <v>26</v>
      </c>
      <c r="D130" t="s">
        <v>17</v>
      </c>
      <c r="E130" t="s">
        <v>26</v>
      </c>
      <c r="F130" s="4">
        <v>2863</v>
      </c>
      <c r="G130" t="s">
        <v>18</v>
      </c>
      <c r="H130" t="s">
        <v>281</v>
      </c>
      <c r="I130" t="s">
        <v>282</v>
      </c>
      <c r="J130" s="3">
        <v>39.9</v>
      </c>
      <c r="K130" t="s">
        <v>20</v>
      </c>
      <c r="L130" s="1">
        <v>45341</v>
      </c>
      <c r="M130" s="2">
        <v>0.38230324074074074</v>
      </c>
      <c r="N130" t="s">
        <v>283</v>
      </c>
      <c r="O130" t="s">
        <v>284</v>
      </c>
      <c r="P130">
        <f>Zara_data[[#This Row],[Sales Volume]]*Zara_data[[#This Row],[price]]</f>
        <v>114233.7</v>
      </c>
      <c r="Q130">
        <f>Zara_data[[#This Row],[Revenue]]/Zara_data[[#This Row],[Sales Volume]]</f>
        <v>39.9</v>
      </c>
    </row>
    <row r="131" spans="1:17" x14ac:dyDescent="0.35">
      <c r="A131">
        <v>165910</v>
      </c>
      <c r="B131" t="s">
        <v>25</v>
      </c>
      <c r="C131" t="s">
        <v>26</v>
      </c>
      <c r="D131" t="s">
        <v>17</v>
      </c>
      <c r="E131" t="s">
        <v>16</v>
      </c>
      <c r="F131" s="4">
        <v>2760</v>
      </c>
      <c r="G131" t="s">
        <v>18</v>
      </c>
      <c r="H131" t="s">
        <v>285</v>
      </c>
      <c r="I131" t="s">
        <v>286</v>
      </c>
      <c r="J131" s="3">
        <v>69.900000000000006</v>
      </c>
      <c r="K131" t="s">
        <v>20</v>
      </c>
      <c r="L131" s="1">
        <v>45341</v>
      </c>
      <c r="M131" s="2">
        <v>0.38231481481481483</v>
      </c>
      <c r="N131" t="s">
        <v>283</v>
      </c>
      <c r="O131" t="s">
        <v>284</v>
      </c>
      <c r="P131">
        <f>Zara_data[[#This Row],[Sales Volume]]*Zara_data[[#This Row],[price]]</f>
        <v>192924.00000000003</v>
      </c>
      <c r="Q131">
        <f>Zara_data[[#This Row],[Revenue]]/Zara_data[[#This Row],[Sales Volume]]</f>
        <v>69.900000000000006</v>
      </c>
    </row>
    <row r="132" spans="1:17" x14ac:dyDescent="0.35">
      <c r="A132">
        <v>136738</v>
      </c>
      <c r="B132" t="s">
        <v>35</v>
      </c>
      <c r="C132" t="s">
        <v>16</v>
      </c>
      <c r="D132" t="s">
        <v>17</v>
      </c>
      <c r="E132" t="s">
        <v>26</v>
      </c>
      <c r="F132" s="4">
        <v>542</v>
      </c>
      <c r="G132" t="s">
        <v>18</v>
      </c>
      <c r="H132" t="s">
        <v>287</v>
      </c>
      <c r="I132" t="s">
        <v>288</v>
      </c>
      <c r="J132" s="3">
        <v>7.99</v>
      </c>
      <c r="K132" t="s">
        <v>20</v>
      </c>
      <c r="L132" s="1">
        <v>45341</v>
      </c>
      <c r="M132" s="2">
        <v>0.38232638888888887</v>
      </c>
      <c r="N132" t="s">
        <v>283</v>
      </c>
      <c r="O132" t="s">
        <v>284</v>
      </c>
      <c r="P132">
        <f>Zara_data[[#This Row],[Sales Volume]]*Zara_data[[#This Row],[price]]</f>
        <v>4330.58</v>
      </c>
      <c r="Q132">
        <f>Zara_data[[#This Row],[Revenue]]/Zara_data[[#This Row],[Sales Volume]]</f>
        <v>7.99</v>
      </c>
    </row>
    <row r="133" spans="1:17" x14ac:dyDescent="0.35">
      <c r="A133">
        <v>144497</v>
      </c>
      <c r="B133" t="s">
        <v>25</v>
      </c>
      <c r="C133" t="s">
        <v>26</v>
      </c>
      <c r="D133" t="s">
        <v>17</v>
      </c>
      <c r="E133" t="s">
        <v>26</v>
      </c>
      <c r="F133" s="4">
        <v>1105</v>
      </c>
      <c r="G133" t="s">
        <v>18</v>
      </c>
      <c r="H133" t="s">
        <v>289</v>
      </c>
      <c r="I133" t="s">
        <v>290</v>
      </c>
      <c r="J133" s="3">
        <v>49.9</v>
      </c>
      <c r="K133" t="s">
        <v>20</v>
      </c>
      <c r="L133" s="1">
        <v>45341</v>
      </c>
      <c r="M133" s="2">
        <v>0.38232638888888887</v>
      </c>
      <c r="N133" t="s">
        <v>283</v>
      </c>
      <c r="O133" t="s">
        <v>284</v>
      </c>
      <c r="P133">
        <f>Zara_data[[#This Row],[Sales Volume]]*Zara_data[[#This Row],[price]]</f>
        <v>55139.5</v>
      </c>
      <c r="Q133">
        <f>Zara_data[[#This Row],[Revenue]]/Zara_data[[#This Row],[Sales Volume]]</f>
        <v>49.9</v>
      </c>
    </row>
    <row r="134" spans="1:17" x14ac:dyDescent="0.35">
      <c r="A134">
        <v>135036</v>
      </c>
      <c r="B134" t="s">
        <v>25</v>
      </c>
      <c r="C134" t="s">
        <v>26</v>
      </c>
      <c r="D134" t="s">
        <v>17</v>
      </c>
      <c r="E134" t="s">
        <v>16</v>
      </c>
      <c r="F134" s="4">
        <v>1435</v>
      </c>
      <c r="G134" t="s">
        <v>18</v>
      </c>
      <c r="H134" t="s">
        <v>291</v>
      </c>
      <c r="I134" t="s">
        <v>292</v>
      </c>
      <c r="J134" s="3">
        <v>49.9</v>
      </c>
      <c r="K134" t="s">
        <v>20</v>
      </c>
      <c r="L134" s="1">
        <v>45341</v>
      </c>
      <c r="M134" s="2">
        <v>0.38233796296296296</v>
      </c>
      <c r="N134" t="s">
        <v>283</v>
      </c>
      <c r="O134" t="s">
        <v>284</v>
      </c>
      <c r="P134">
        <f>Zara_data[[#This Row],[Sales Volume]]*Zara_data[[#This Row],[price]]</f>
        <v>71606.5</v>
      </c>
      <c r="Q134">
        <f>Zara_data[[#This Row],[Revenue]]/Zara_data[[#This Row],[Sales Volume]]</f>
        <v>49.9</v>
      </c>
    </row>
    <row r="135" spans="1:17" x14ac:dyDescent="0.35">
      <c r="A135">
        <v>166331</v>
      </c>
      <c r="B135" t="s">
        <v>15</v>
      </c>
      <c r="C135" t="s">
        <v>26</v>
      </c>
      <c r="D135" t="s">
        <v>17</v>
      </c>
      <c r="E135" t="s">
        <v>26</v>
      </c>
      <c r="F135" s="4">
        <v>2877</v>
      </c>
      <c r="G135" t="s">
        <v>18</v>
      </c>
      <c r="H135" t="s">
        <v>293</v>
      </c>
      <c r="I135" t="s">
        <v>294</v>
      </c>
      <c r="J135" s="3">
        <v>59.9</v>
      </c>
      <c r="K135" t="s">
        <v>20</v>
      </c>
      <c r="L135" s="1">
        <v>45341</v>
      </c>
      <c r="M135" s="2">
        <v>0.38234953703703706</v>
      </c>
      <c r="N135" t="s">
        <v>283</v>
      </c>
      <c r="O135" t="s">
        <v>284</v>
      </c>
      <c r="P135">
        <f>Zara_data[[#This Row],[Sales Volume]]*Zara_data[[#This Row],[price]]</f>
        <v>172332.3</v>
      </c>
      <c r="Q135">
        <f>Zara_data[[#This Row],[Revenue]]/Zara_data[[#This Row],[Sales Volume]]</f>
        <v>59.9</v>
      </c>
    </row>
    <row r="136" spans="1:17" x14ac:dyDescent="0.35">
      <c r="A136">
        <v>118569</v>
      </c>
      <c r="B136" t="s">
        <v>15</v>
      </c>
      <c r="C136" t="s">
        <v>16</v>
      </c>
      <c r="D136" t="s">
        <v>17</v>
      </c>
      <c r="E136" t="s">
        <v>26</v>
      </c>
      <c r="F136" s="4">
        <v>994</v>
      </c>
      <c r="G136" t="s">
        <v>18</v>
      </c>
      <c r="H136" t="s">
        <v>295</v>
      </c>
      <c r="I136" t="s">
        <v>296</v>
      </c>
      <c r="J136" s="3">
        <v>49.9</v>
      </c>
      <c r="K136" t="s">
        <v>20</v>
      </c>
      <c r="L136" s="1">
        <v>45341</v>
      </c>
      <c r="M136" s="2">
        <v>0.3823611111111111</v>
      </c>
      <c r="N136" t="s">
        <v>283</v>
      </c>
      <c r="O136" t="s">
        <v>284</v>
      </c>
      <c r="P136">
        <f>Zara_data[[#This Row],[Sales Volume]]*Zara_data[[#This Row],[price]]</f>
        <v>49600.6</v>
      </c>
      <c r="Q136">
        <f>Zara_data[[#This Row],[Revenue]]/Zara_data[[#This Row],[Sales Volume]]</f>
        <v>49.9</v>
      </c>
    </row>
    <row r="137" spans="1:17" x14ac:dyDescent="0.35">
      <c r="A137">
        <v>155848</v>
      </c>
      <c r="B137" t="s">
        <v>25</v>
      </c>
      <c r="C137" t="s">
        <v>26</v>
      </c>
      <c r="D137" t="s">
        <v>17</v>
      </c>
      <c r="E137" t="s">
        <v>16</v>
      </c>
      <c r="F137" s="4">
        <v>1942</v>
      </c>
      <c r="G137" t="s">
        <v>18</v>
      </c>
      <c r="H137" t="s">
        <v>297</v>
      </c>
      <c r="I137" t="s">
        <v>298</v>
      </c>
      <c r="J137" s="3">
        <v>49.9</v>
      </c>
      <c r="K137" t="s">
        <v>20</v>
      </c>
      <c r="L137" s="1">
        <v>45341</v>
      </c>
      <c r="M137" s="2">
        <v>0.3823611111111111</v>
      </c>
      <c r="N137" t="s">
        <v>283</v>
      </c>
      <c r="O137" t="s">
        <v>284</v>
      </c>
      <c r="P137">
        <f>Zara_data[[#This Row],[Sales Volume]]*Zara_data[[#This Row],[price]]</f>
        <v>96905.8</v>
      </c>
      <c r="Q137">
        <f>Zara_data[[#This Row],[Revenue]]/Zara_data[[#This Row],[Sales Volume]]</f>
        <v>49.9</v>
      </c>
    </row>
    <row r="138" spans="1:17" x14ac:dyDescent="0.35">
      <c r="A138">
        <v>152563</v>
      </c>
      <c r="B138" t="s">
        <v>35</v>
      </c>
      <c r="C138" t="s">
        <v>16</v>
      </c>
      <c r="D138" t="s">
        <v>17</v>
      </c>
      <c r="E138" t="s">
        <v>26</v>
      </c>
      <c r="F138" s="4">
        <v>2572</v>
      </c>
      <c r="G138" t="s">
        <v>18</v>
      </c>
      <c r="H138" t="s">
        <v>299</v>
      </c>
      <c r="I138" t="s">
        <v>300</v>
      </c>
      <c r="J138" s="3">
        <v>169</v>
      </c>
      <c r="K138" t="s">
        <v>20</v>
      </c>
      <c r="L138" s="1">
        <v>45341</v>
      </c>
      <c r="M138" s="2">
        <v>0.38237268518518519</v>
      </c>
      <c r="N138" t="s">
        <v>283</v>
      </c>
      <c r="O138" t="s">
        <v>284</v>
      </c>
      <c r="P138">
        <f>Zara_data[[#This Row],[Sales Volume]]*Zara_data[[#This Row],[price]]</f>
        <v>434668</v>
      </c>
      <c r="Q138">
        <f>Zara_data[[#This Row],[Revenue]]/Zara_data[[#This Row],[Sales Volume]]</f>
        <v>169</v>
      </c>
    </row>
    <row r="139" spans="1:17" x14ac:dyDescent="0.35">
      <c r="A139">
        <v>115153</v>
      </c>
      <c r="B139" t="s">
        <v>15</v>
      </c>
      <c r="C139" t="s">
        <v>16</v>
      </c>
      <c r="D139" t="s">
        <v>17</v>
      </c>
      <c r="E139" t="s">
        <v>16</v>
      </c>
      <c r="F139" s="4">
        <v>1736</v>
      </c>
      <c r="G139" t="s">
        <v>18</v>
      </c>
      <c r="H139" t="s">
        <v>301</v>
      </c>
      <c r="I139" t="s">
        <v>302</v>
      </c>
      <c r="J139" s="3">
        <v>79.900000000000006</v>
      </c>
      <c r="K139" t="s">
        <v>20</v>
      </c>
      <c r="L139" s="1">
        <v>45341</v>
      </c>
      <c r="M139" s="2">
        <v>0.38238425925925928</v>
      </c>
      <c r="N139" t="s">
        <v>283</v>
      </c>
      <c r="O139" t="s">
        <v>284</v>
      </c>
      <c r="P139">
        <f>Zara_data[[#This Row],[Sales Volume]]*Zara_data[[#This Row],[price]]</f>
        <v>138706.40000000002</v>
      </c>
      <c r="Q139">
        <f>Zara_data[[#This Row],[Revenue]]/Zara_data[[#This Row],[Sales Volume]]</f>
        <v>79.90000000000002</v>
      </c>
    </row>
    <row r="140" spans="1:17" x14ac:dyDescent="0.35">
      <c r="A140">
        <v>125938</v>
      </c>
      <c r="B140" t="s">
        <v>15</v>
      </c>
      <c r="C140" t="s">
        <v>26</v>
      </c>
      <c r="D140" t="s">
        <v>17</v>
      </c>
      <c r="E140" t="s">
        <v>26</v>
      </c>
      <c r="F140" s="4">
        <v>1204</v>
      </c>
      <c r="G140" t="s">
        <v>18</v>
      </c>
      <c r="H140" t="s">
        <v>303</v>
      </c>
      <c r="I140" t="s">
        <v>304</v>
      </c>
      <c r="J140" s="3">
        <v>49.9</v>
      </c>
      <c r="K140" t="s">
        <v>20</v>
      </c>
      <c r="L140" s="1">
        <v>45341</v>
      </c>
      <c r="M140" s="2">
        <v>0.38238425925925928</v>
      </c>
      <c r="N140" t="s">
        <v>283</v>
      </c>
      <c r="O140" t="s">
        <v>284</v>
      </c>
      <c r="P140">
        <f>Zara_data[[#This Row],[Sales Volume]]*Zara_data[[#This Row],[price]]</f>
        <v>60079.6</v>
      </c>
      <c r="Q140">
        <f>Zara_data[[#This Row],[Revenue]]/Zara_data[[#This Row],[Sales Volume]]</f>
        <v>49.9</v>
      </c>
    </row>
    <row r="141" spans="1:17" x14ac:dyDescent="0.35">
      <c r="A141">
        <v>122809</v>
      </c>
      <c r="B141" t="s">
        <v>25</v>
      </c>
      <c r="C141" t="s">
        <v>16</v>
      </c>
      <c r="D141" t="s">
        <v>17</v>
      </c>
      <c r="E141" t="s">
        <v>26</v>
      </c>
      <c r="F141" s="4">
        <v>1592</v>
      </c>
      <c r="G141" t="s">
        <v>18</v>
      </c>
      <c r="H141" t="s">
        <v>305</v>
      </c>
      <c r="I141" t="s">
        <v>306</v>
      </c>
      <c r="J141" s="3">
        <v>49.9</v>
      </c>
      <c r="K141" t="s">
        <v>20</v>
      </c>
      <c r="L141" s="1">
        <v>45341</v>
      </c>
      <c r="M141" s="2">
        <v>0.38239583333333332</v>
      </c>
      <c r="N141" t="s">
        <v>283</v>
      </c>
      <c r="O141" t="s">
        <v>284</v>
      </c>
      <c r="P141">
        <f>Zara_data[[#This Row],[Sales Volume]]*Zara_data[[#This Row],[price]]</f>
        <v>79440.800000000003</v>
      </c>
      <c r="Q141">
        <f>Zara_data[[#This Row],[Revenue]]/Zara_data[[#This Row],[Sales Volume]]</f>
        <v>49.9</v>
      </c>
    </row>
    <row r="142" spans="1:17" x14ac:dyDescent="0.35">
      <c r="A142">
        <v>181502</v>
      </c>
      <c r="B142" t="s">
        <v>35</v>
      </c>
      <c r="C142" t="s">
        <v>26</v>
      </c>
      <c r="D142" t="s">
        <v>17</v>
      </c>
      <c r="E142" t="s">
        <v>16</v>
      </c>
      <c r="F142" s="4">
        <v>2591</v>
      </c>
      <c r="G142" t="s">
        <v>18</v>
      </c>
      <c r="H142" t="s">
        <v>307</v>
      </c>
      <c r="I142" t="s">
        <v>308</v>
      </c>
      <c r="J142" s="3">
        <v>39.9</v>
      </c>
      <c r="K142" t="s">
        <v>20</v>
      </c>
      <c r="L142" s="1">
        <v>45341</v>
      </c>
      <c r="M142" s="2">
        <v>0.38239583333333332</v>
      </c>
      <c r="N142" t="s">
        <v>283</v>
      </c>
      <c r="O142" t="s">
        <v>284</v>
      </c>
      <c r="P142">
        <f>Zara_data[[#This Row],[Sales Volume]]*Zara_data[[#This Row],[price]]</f>
        <v>103380.9</v>
      </c>
      <c r="Q142">
        <f>Zara_data[[#This Row],[Revenue]]/Zara_data[[#This Row],[Sales Volume]]</f>
        <v>39.9</v>
      </c>
    </row>
    <row r="143" spans="1:17" x14ac:dyDescent="0.35">
      <c r="A143">
        <v>182779</v>
      </c>
      <c r="B143" t="s">
        <v>25</v>
      </c>
      <c r="C143" t="s">
        <v>26</v>
      </c>
      <c r="D143" t="s">
        <v>17</v>
      </c>
      <c r="E143" t="s">
        <v>26</v>
      </c>
      <c r="F143" s="4">
        <v>2097</v>
      </c>
      <c r="G143" t="s">
        <v>18</v>
      </c>
      <c r="H143" t="s">
        <v>309</v>
      </c>
      <c r="I143" t="s">
        <v>310</v>
      </c>
      <c r="J143" s="3">
        <v>35.9</v>
      </c>
      <c r="K143" t="s">
        <v>20</v>
      </c>
      <c r="L143" s="1">
        <v>45341</v>
      </c>
      <c r="M143" s="2">
        <v>0.38240740740740742</v>
      </c>
      <c r="N143" t="s">
        <v>283</v>
      </c>
      <c r="O143" t="s">
        <v>284</v>
      </c>
      <c r="P143">
        <f>Zara_data[[#This Row],[Sales Volume]]*Zara_data[[#This Row],[price]]</f>
        <v>75282.3</v>
      </c>
      <c r="Q143">
        <f>Zara_data[[#This Row],[Revenue]]/Zara_data[[#This Row],[Sales Volume]]</f>
        <v>35.9</v>
      </c>
    </row>
    <row r="144" spans="1:17" x14ac:dyDescent="0.35">
      <c r="A144">
        <v>155674</v>
      </c>
      <c r="B144" t="s">
        <v>35</v>
      </c>
      <c r="C144" t="s">
        <v>16</v>
      </c>
      <c r="D144" t="s">
        <v>17</v>
      </c>
      <c r="E144" t="s">
        <v>16</v>
      </c>
      <c r="F144" s="4">
        <v>897</v>
      </c>
      <c r="G144" t="s">
        <v>18</v>
      </c>
      <c r="H144" t="s">
        <v>311</v>
      </c>
      <c r="I144" t="s">
        <v>312</v>
      </c>
      <c r="J144" s="3">
        <v>49.9</v>
      </c>
      <c r="K144" t="s">
        <v>20</v>
      </c>
      <c r="L144" s="1">
        <v>45341</v>
      </c>
      <c r="M144" s="2">
        <v>0.38241898148148146</v>
      </c>
      <c r="N144" t="s">
        <v>283</v>
      </c>
      <c r="O144" t="s">
        <v>284</v>
      </c>
      <c r="P144">
        <f>Zara_data[[#This Row],[Sales Volume]]*Zara_data[[#This Row],[price]]</f>
        <v>44760.299999999996</v>
      </c>
      <c r="Q144">
        <f>Zara_data[[#This Row],[Revenue]]/Zara_data[[#This Row],[Sales Volume]]</f>
        <v>49.9</v>
      </c>
    </row>
    <row r="145" spans="1:17" x14ac:dyDescent="0.35">
      <c r="A145">
        <v>182866</v>
      </c>
      <c r="B145" t="s">
        <v>15</v>
      </c>
      <c r="C145" t="s">
        <v>16</v>
      </c>
      <c r="D145" t="s">
        <v>17</v>
      </c>
      <c r="E145" t="s">
        <v>26</v>
      </c>
      <c r="F145" s="4">
        <v>1552</v>
      </c>
      <c r="G145" t="s">
        <v>18</v>
      </c>
      <c r="H145" t="s">
        <v>313</v>
      </c>
      <c r="I145" t="s">
        <v>314</v>
      </c>
      <c r="J145" s="3">
        <v>39.9</v>
      </c>
      <c r="K145" t="s">
        <v>20</v>
      </c>
      <c r="L145" s="1">
        <v>45341</v>
      </c>
      <c r="M145" s="2">
        <v>0.38243055555555555</v>
      </c>
      <c r="N145" t="s">
        <v>283</v>
      </c>
      <c r="O145" t="s">
        <v>284</v>
      </c>
      <c r="P145">
        <f>Zara_data[[#This Row],[Sales Volume]]*Zara_data[[#This Row],[price]]</f>
        <v>61924.799999999996</v>
      </c>
      <c r="Q145">
        <f>Zara_data[[#This Row],[Revenue]]/Zara_data[[#This Row],[Sales Volume]]</f>
        <v>39.9</v>
      </c>
    </row>
    <row r="146" spans="1:17" x14ac:dyDescent="0.35">
      <c r="A146">
        <v>148230</v>
      </c>
      <c r="B146" t="s">
        <v>35</v>
      </c>
      <c r="C146" t="s">
        <v>26</v>
      </c>
      <c r="D146" t="s">
        <v>17</v>
      </c>
      <c r="E146" t="s">
        <v>16</v>
      </c>
      <c r="F146" s="4">
        <v>2494</v>
      </c>
      <c r="G146" t="s">
        <v>18</v>
      </c>
      <c r="H146" t="s">
        <v>315</v>
      </c>
      <c r="I146" t="s">
        <v>316</v>
      </c>
      <c r="J146" s="3">
        <v>59.9</v>
      </c>
      <c r="K146" t="s">
        <v>20</v>
      </c>
      <c r="L146" s="1">
        <v>45341</v>
      </c>
      <c r="M146" s="2">
        <v>0.38243055555555555</v>
      </c>
      <c r="N146" t="s">
        <v>283</v>
      </c>
      <c r="O146" t="s">
        <v>284</v>
      </c>
      <c r="P146">
        <f>Zara_data[[#This Row],[Sales Volume]]*Zara_data[[#This Row],[price]]</f>
        <v>149390.6</v>
      </c>
      <c r="Q146">
        <f>Zara_data[[#This Row],[Revenue]]/Zara_data[[#This Row],[Sales Volume]]</f>
        <v>59.900000000000006</v>
      </c>
    </row>
    <row r="147" spans="1:17" x14ac:dyDescent="0.35">
      <c r="A147">
        <v>126979</v>
      </c>
      <c r="B147" t="s">
        <v>35</v>
      </c>
      <c r="C147" t="s">
        <v>16</v>
      </c>
      <c r="D147" t="s">
        <v>17</v>
      </c>
      <c r="E147" t="s">
        <v>16</v>
      </c>
      <c r="F147" s="4">
        <v>2141</v>
      </c>
      <c r="G147" t="s">
        <v>18</v>
      </c>
      <c r="H147" t="s">
        <v>317</v>
      </c>
      <c r="I147" t="s">
        <v>318</v>
      </c>
      <c r="J147" s="3">
        <v>49.9</v>
      </c>
      <c r="K147" t="s">
        <v>20</v>
      </c>
      <c r="L147" s="1">
        <v>45341</v>
      </c>
      <c r="M147" s="2">
        <v>0.38244212962962965</v>
      </c>
      <c r="N147" t="s">
        <v>283</v>
      </c>
      <c r="O147" t="s">
        <v>284</v>
      </c>
      <c r="P147">
        <f>Zara_data[[#This Row],[Sales Volume]]*Zara_data[[#This Row],[price]]</f>
        <v>106835.9</v>
      </c>
      <c r="Q147">
        <f>Zara_data[[#This Row],[Revenue]]/Zara_data[[#This Row],[Sales Volume]]</f>
        <v>49.9</v>
      </c>
    </row>
    <row r="148" spans="1:17" x14ac:dyDescent="0.35">
      <c r="A148">
        <v>135521</v>
      </c>
      <c r="B148" t="s">
        <v>25</v>
      </c>
      <c r="C148" t="s">
        <v>16</v>
      </c>
      <c r="D148" t="s">
        <v>17</v>
      </c>
      <c r="E148" t="s">
        <v>26</v>
      </c>
      <c r="F148" s="4">
        <v>2835</v>
      </c>
      <c r="G148" t="s">
        <v>18</v>
      </c>
      <c r="H148" t="s">
        <v>319</v>
      </c>
      <c r="I148" t="s">
        <v>320</v>
      </c>
      <c r="J148" s="3">
        <v>39.9</v>
      </c>
      <c r="K148" t="s">
        <v>20</v>
      </c>
      <c r="L148" s="1">
        <v>45341</v>
      </c>
      <c r="M148" s="2">
        <v>0.38244212962962965</v>
      </c>
      <c r="N148" t="s">
        <v>283</v>
      </c>
      <c r="O148" t="s">
        <v>284</v>
      </c>
      <c r="P148">
        <f>Zara_data[[#This Row],[Sales Volume]]*Zara_data[[#This Row],[price]]</f>
        <v>113116.5</v>
      </c>
      <c r="Q148">
        <f>Zara_data[[#This Row],[Revenue]]/Zara_data[[#This Row],[Sales Volume]]</f>
        <v>39.9</v>
      </c>
    </row>
    <row r="149" spans="1:17" x14ac:dyDescent="0.35">
      <c r="A149">
        <v>185809</v>
      </c>
      <c r="B149" t="s">
        <v>25</v>
      </c>
      <c r="C149" t="s">
        <v>16</v>
      </c>
      <c r="D149" t="s">
        <v>17</v>
      </c>
      <c r="E149" t="s">
        <v>16</v>
      </c>
      <c r="F149" s="4">
        <v>622</v>
      </c>
      <c r="G149" t="s">
        <v>18</v>
      </c>
      <c r="H149" t="s">
        <v>321</v>
      </c>
      <c r="I149" t="s">
        <v>322</v>
      </c>
      <c r="J149" s="3">
        <v>49.9</v>
      </c>
      <c r="K149" t="s">
        <v>20</v>
      </c>
      <c r="L149" s="1">
        <v>45341</v>
      </c>
      <c r="M149" s="2">
        <v>0.38245370370370368</v>
      </c>
      <c r="N149" t="s">
        <v>283</v>
      </c>
      <c r="O149" t="s">
        <v>284</v>
      </c>
      <c r="P149">
        <f>Zara_data[[#This Row],[Sales Volume]]*Zara_data[[#This Row],[price]]</f>
        <v>31037.8</v>
      </c>
      <c r="Q149">
        <f>Zara_data[[#This Row],[Revenue]]/Zara_data[[#This Row],[Sales Volume]]</f>
        <v>49.9</v>
      </c>
    </row>
    <row r="150" spans="1:17" x14ac:dyDescent="0.35">
      <c r="A150">
        <v>171520</v>
      </c>
      <c r="B150" t="s">
        <v>25</v>
      </c>
      <c r="C150" t="s">
        <v>26</v>
      </c>
      <c r="D150" t="s">
        <v>17</v>
      </c>
      <c r="E150" t="s">
        <v>26</v>
      </c>
      <c r="F150" s="4">
        <v>2901</v>
      </c>
      <c r="G150" t="s">
        <v>18</v>
      </c>
      <c r="H150" t="s">
        <v>323</v>
      </c>
      <c r="I150" t="s">
        <v>324</v>
      </c>
      <c r="J150" s="3">
        <v>47.9</v>
      </c>
      <c r="K150" t="s">
        <v>20</v>
      </c>
      <c r="L150" s="1">
        <v>45341</v>
      </c>
      <c r="M150" s="2">
        <v>0.38246527777777778</v>
      </c>
      <c r="N150" t="s">
        <v>283</v>
      </c>
      <c r="O150" t="s">
        <v>284</v>
      </c>
      <c r="P150">
        <f>Zara_data[[#This Row],[Sales Volume]]*Zara_data[[#This Row],[price]]</f>
        <v>138957.9</v>
      </c>
      <c r="Q150">
        <f>Zara_data[[#This Row],[Revenue]]/Zara_data[[#This Row],[Sales Volume]]</f>
        <v>47.9</v>
      </c>
    </row>
    <row r="151" spans="1:17" x14ac:dyDescent="0.35">
      <c r="A151">
        <v>122926</v>
      </c>
      <c r="B151" t="s">
        <v>25</v>
      </c>
      <c r="C151" t="s">
        <v>16</v>
      </c>
      <c r="D151" t="s">
        <v>17</v>
      </c>
      <c r="E151" t="s">
        <v>16</v>
      </c>
      <c r="F151" s="4">
        <v>867</v>
      </c>
      <c r="G151" t="s">
        <v>18</v>
      </c>
      <c r="H151" t="s">
        <v>325</v>
      </c>
      <c r="I151" t="s">
        <v>326</v>
      </c>
      <c r="J151" s="3">
        <v>45.9</v>
      </c>
      <c r="K151" t="s">
        <v>20</v>
      </c>
      <c r="L151" s="1">
        <v>45341</v>
      </c>
      <c r="M151" s="2">
        <v>0.38246527777777778</v>
      </c>
      <c r="N151" t="s">
        <v>283</v>
      </c>
      <c r="O151" t="s">
        <v>284</v>
      </c>
      <c r="P151">
        <f>Zara_data[[#This Row],[Sales Volume]]*Zara_data[[#This Row],[price]]</f>
        <v>39795.299999999996</v>
      </c>
      <c r="Q151">
        <f>Zara_data[[#This Row],[Revenue]]/Zara_data[[#This Row],[Sales Volume]]</f>
        <v>45.899999999999991</v>
      </c>
    </row>
    <row r="152" spans="1:17" x14ac:dyDescent="0.35">
      <c r="A152">
        <v>115873</v>
      </c>
      <c r="B152" t="s">
        <v>25</v>
      </c>
      <c r="C152" t="s">
        <v>26</v>
      </c>
      <c r="D152" t="s">
        <v>17</v>
      </c>
      <c r="E152" t="s">
        <v>26</v>
      </c>
      <c r="F152" s="4">
        <v>2606</v>
      </c>
      <c r="G152" t="s">
        <v>18</v>
      </c>
      <c r="H152" t="s">
        <v>327</v>
      </c>
      <c r="I152" t="s">
        <v>328</v>
      </c>
      <c r="J152" s="3">
        <v>59.9</v>
      </c>
      <c r="K152" t="s">
        <v>20</v>
      </c>
      <c r="L152" s="1">
        <v>45341</v>
      </c>
      <c r="M152" s="2">
        <v>0.38247685185185187</v>
      </c>
      <c r="N152" t="s">
        <v>283</v>
      </c>
      <c r="O152" t="s">
        <v>284</v>
      </c>
      <c r="P152">
        <f>Zara_data[[#This Row],[Sales Volume]]*Zara_data[[#This Row],[price]]</f>
        <v>156099.4</v>
      </c>
      <c r="Q152">
        <f>Zara_data[[#This Row],[Revenue]]/Zara_data[[#This Row],[Sales Volume]]</f>
        <v>59.9</v>
      </c>
    </row>
    <row r="153" spans="1:17" x14ac:dyDescent="0.35">
      <c r="A153">
        <v>115581</v>
      </c>
      <c r="B153" t="s">
        <v>15</v>
      </c>
      <c r="C153" t="s">
        <v>16</v>
      </c>
      <c r="D153" t="s">
        <v>17</v>
      </c>
      <c r="E153" t="s">
        <v>26</v>
      </c>
      <c r="F153" s="4">
        <v>2728</v>
      </c>
      <c r="G153" t="s">
        <v>18</v>
      </c>
      <c r="H153" t="s">
        <v>329</v>
      </c>
      <c r="I153" t="s">
        <v>330</v>
      </c>
      <c r="J153" s="3">
        <v>47.9</v>
      </c>
      <c r="K153" t="s">
        <v>20</v>
      </c>
      <c r="L153" s="1">
        <v>45341</v>
      </c>
      <c r="M153" s="2">
        <v>0.38248842592592591</v>
      </c>
      <c r="N153" t="s">
        <v>283</v>
      </c>
      <c r="O153" t="s">
        <v>284</v>
      </c>
      <c r="P153">
        <f>Zara_data[[#This Row],[Sales Volume]]*Zara_data[[#This Row],[price]]</f>
        <v>130671.2</v>
      </c>
      <c r="Q153">
        <f>Zara_data[[#This Row],[Revenue]]/Zara_data[[#This Row],[Sales Volume]]</f>
        <v>47.9</v>
      </c>
    </row>
    <row r="154" spans="1:17" x14ac:dyDescent="0.35">
      <c r="A154">
        <v>183634</v>
      </c>
      <c r="B154" t="s">
        <v>35</v>
      </c>
      <c r="C154" t="s">
        <v>26</v>
      </c>
      <c r="D154" t="s">
        <v>17</v>
      </c>
      <c r="E154" t="s">
        <v>26</v>
      </c>
      <c r="F154" s="4">
        <v>2778</v>
      </c>
      <c r="G154" t="s">
        <v>18</v>
      </c>
      <c r="H154" t="s">
        <v>331</v>
      </c>
      <c r="I154" t="s">
        <v>332</v>
      </c>
      <c r="J154" s="3">
        <v>27.9</v>
      </c>
      <c r="K154" t="s">
        <v>20</v>
      </c>
      <c r="L154" s="1">
        <v>45341</v>
      </c>
      <c r="M154" s="2">
        <v>0.38250000000000001</v>
      </c>
      <c r="N154" t="s">
        <v>283</v>
      </c>
      <c r="O154" t="s">
        <v>284</v>
      </c>
      <c r="P154">
        <f>Zara_data[[#This Row],[Sales Volume]]*Zara_data[[#This Row],[price]]</f>
        <v>77506.2</v>
      </c>
      <c r="Q154">
        <f>Zara_data[[#This Row],[Revenue]]/Zara_data[[#This Row],[Sales Volume]]</f>
        <v>27.9</v>
      </c>
    </row>
    <row r="155" spans="1:17" x14ac:dyDescent="0.35">
      <c r="A155">
        <v>122484</v>
      </c>
      <c r="B155" t="s">
        <v>15</v>
      </c>
      <c r="C155" t="s">
        <v>26</v>
      </c>
      <c r="D155" t="s">
        <v>17</v>
      </c>
      <c r="E155" t="s">
        <v>26</v>
      </c>
      <c r="F155" s="4">
        <v>558</v>
      </c>
      <c r="G155" t="s">
        <v>18</v>
      </c>
      <c r="H155" t="s">
        <v>333</v>
      </c>
      <c r="I155" t="s">
        <v>334</v>
      </c>
      <c r="J155" s="3">
        <v>47.9</v>
      </c>
      <c r="K155" t="s">
        <v>20</v>
      </c>
      <c r="L155" s="1">
        <v>45341</v>
      </c>
      <c r="M155" s="2">
        <v>0.38250000000000001</v>
      </c>
      <c r="N155" t="s">
        <v>283</v>
      </c>
      <c r="O155" t="s">
        <v>284</v>
      </c>
      <c r="P155">
        <f>Zara_data[[#This Row],[Sales Volume]]*Zara_data[[#This Row],[price]]</f>
        <v>26728.2</v>
      </c>
      <c r="Q155">
        <f>Zara_data[[#This Row],[Revenue]]/Zara_data[[#This Row],[Sales Volume]]</f>
        <v>47.9</v>
      </c>
    </row>
    <row r="156" spans="1:17" x14ac:dyDescent="0.35">
      <c r="A156">
        <v>183574</v>
      </c>
      <c r="B156" t="s">
        <v>15</v>
      </c>
      <c r="C156" t="s">
        <v>26</v>
      </c>
      <c r="D156" t="s">
        <v>17</v>
      </c>
      <c r="E156" t="s">
        <v>26</v>
      </c>
      <c r="F156" s="4">
        <v>1752</v>
      </c>
      <c r="G156" t="s">
        <v>18</v>
      </c>
      <c r="H156" t="s">
        <v>335</v>
      </c>
      <c r="I156" t="s">
        <v>336</v>
      </c>
      <c r="J156" s="3">
        <v>47.9</v>
      </c>
      <c r="K156" t="s">
        <v>20</v>
      </c>
      <c r="L156" s="1">
        <v>45341</v>
      </c>
      <c r="M156" s="2">
        <v>0.3825115740740741</v>
      </c>
      <c r="N156" t="s">
        <v>283</v>
      </c>
      <c r="O156" t="s">
        <v>284</v>
      </c>
      <c r="P156">
        <f>Zara_data[[#This Row],[Sales Volume]]*Zara_data[[#This Row],[price]]</f>
        <v>83920.8</v>
      </c>
      <c r="Q156">
        <f>Zara_data[[#This Row],[Revenue]]/Zara_data[[#This Row],[Sales Volume]]</f>
        <v>47.9</v>
      </c>
    </row>
    <row r="157" spans="1:17" x14ac:dyDescent="0.35">
      <c r="A157">
        <v>185307</v>
      </c>
      <c r="B157" t="s">
        <v>35</v>
      </c>
      <c r="C157" t="s">
        <v>16</v>
      </c>
      <c r="D157" t="s">
        <v>17</v>
      </c>
      <c r="E157" t="s">
        <v>26</v>
      </c>
      <c r="F157" s="4">
        <v>2743</v>
      </c>
      <c r="G157" t="s">
        <v>18</v>
      </c>
      <c r="H157" t="s">
        <v>337</v>
      </c>
      <c r="I157" t="s">
        <v>338</v>
      </c>
      <c r="J157" s="3">
        <v>7.99</v>
      </c>
      <c r="K157" t="s">
        <v>20</v>
      </c>
      <c r="L157" s="1">
        <v>45341</v>
      </c>
      <c r="M157" s="2">
        <v>0.3825115740740741</v>
      </c>
      <c r="N157" t="s">
        <v>283</v>
      </c>
      <c r="O157" t="s">
        <v>284</v>
      </c>
      <c r="P157">
        <f>Zara_data[[#This Row],[Sales Volume]]*Zara_data[[#This Row],[price]]</f>
        <v>21916.57</v>
      </c>
      <c r="Q157">
        <f>Zara_data[[#This Row],[Revenue]]/Zara_data[[#This Row],[Sales Volume]]</f>
        <v>7.99</v>
      </c>
    </row>
    <row r="158" spans="1:17" x14ac:dyDescent="0.35">
      <c r="A158">
        <v>118719</v>
      </c>
      <c r="B158" t="s">
        <v>25</v>
      </c>
      <c r="C158" t="s">
        <v>16</v>
      </c>
      <c r="D158" t="s">
        <v>17</v>
      </c>
      <c r="E158" t="s">
        <v>26</v>
      </c>
      <c r="F158" s="4">
        <v>1669</v>
      </c>
      <c r="G158" t="s">
        <v>18</v>
      </c>
      <c r="H158" t="s">
        <v>339</v>
      </c>
      <c r="I158" t="s">
        <v>340</v>
      </c>
      <c r="J158" s="3">
        <v>45.9</v>
      </c>
      <c r="K158" t="s">
        <v>20</v>
      </c>
      <c r="L158" s="1">
        <v>45341</v>
      </c>
      <c r="M158" s="2">
        <v>0.38252314814814814</v>
      </c>
      <c r="N158" t="s">
        <v>283</v>
      </c>
      <c r="O158" t="s">
        <v>284</v>
      </c>
      <c r="P158">
        <f>Zara_data[[#This Row],[Sales Volume]]*Zara_data[[#This Row],[price]]</f>
        <v>76607.099999999991</v>
      </c>
      <c r="Q158">
        <f>Zara_data[[#This Row],[Revenue]]/Zara_data[[#This Row],[Sales Volume]]</f>
        <v>45.899999999999991</v>
      </c>
    </row>
    <row r="159" spans="1:17" x14ac:dyDescent="0.35">
      <c r="A159">
        <v>140142</v>
      </c>
      <c r="B159" t="s">
        <v>35</v>
      </c>
      <c r="C159" t="s">
        <v>26</v>
      </c>
      <c r="D159" t="s">
        <v>17</v>
      </c>
      <c r="E159" t="s">
        <v>16</v>
      </c>
      <c r="F159" s="4">
        <v>606</v>
      </c>
      <c r="G159" t="s">
        <v>18</v>
      </c>
      <c r="H159" t="s">
        <v>341</v>
      </c>
      <c r="I159" t="s">
        <v>342</v>
      </c>
      <c r="J159" s="3">
        <v>49.9</v>
      </c>
      <c r="K159" t="s">
        <v>20</v>
      </c>
      <c r="L159" s="1">
        <v>45341</v>
      </c>
      <c r="M159" s="2">
        <v>0.38253472222222223</v>
      </c>
      <c r="N159" t="s">
        <v>283</v>
      </c>
      <c r="O159" t="s">
        <v>284</v>
      </c>
      <c r="P159">
        <f>Zara_data[[#This Row],[Sales Volume]]*Zara_data[[#This Row],[price]]</f>
        <v>30239.399999999998</v>
      </c>
      <c r="Q159">
        <f>Zara_data[[#This Row],[Revenue]]/Zara_data[[#This Row],[Sales Volume]]</f>
        <v>49.9</v>
      </c>
    </row>
    <row r="160" spans="1:17" x14ac:dyDescent="0.35">
      <c r="A160">
        <v>153997</v>
      </c>
      <c r="B160" t="s">
        <v>25</v>
      </c>
      <c r="C160" t="s">
        <v>16</v>
      </c>
      <c r="D160" t="s">
        <v>17</v>
      </c>
      <c r="E160" t="s">
        <v>26</v>
      </c>
      <c r="F160" s="4">
        <v>1608</v>
      </c>
      <c r="G160" t="s">
        <v>18</v>
      </c>
      <c r="H160" t="s">
        <v>343</v>
      </c>
      <c r="I160" t="s">
        <v>344</v>
      </c>
      <c r="J160" s="3">
        <v>45.9</v>
      </c>
      <c r="K160" t="s">
        <v>20</v>
      </c>
      <c r="L160" s="1">
        <v>45341</v>
      </c>
      <c r="M160" s="2">
        <v>0.38254629629629627</v>
      </c>
      <c r="N160" t="s">
        <v>283</v>
      </c>
      <c r="O160" t="s">
        <v>284</v>
      </c>
      <c r="P160">
        <f>Zara_data[[#This Row],[Sales Volume]]*Zara_data[[#This Row],[price]]</f>
        <v>73807.199999999997</v>
      </c>
      <c r="Q160">
        <f>Zara_data[[#This Row],[Revenue]]/Zara_data[[#This Row],[Sales Volume]]</f>
        <v>45.9</v>
      </c>
    </row>
    <row r="161" spans="1:17" x14ac:dyDescent="0.35">
      <c r="A161">
        <v>123230</v>
      </c>
      <c r="B161" t="s">
        <v>15</v>
      </c>
      <c r="C161" t="s">
        <v>16</v>
      </c>
      <c r="D161" t="s">
        <v>17</v>
      </c>
      <c r="E161" t="s">
        <v>26</v>
      </c>
      <c r="F161" s="4">
        <v>880</v>
      </c>
      <c r="G161" t="s">
        <v>18</v>
      </c>
      <c r="H161" t="s">
        <v>345</v>
      </c>
      <c r="I161" t="s">
        <v>346</v>
      </c>
      <c r="J161" s="3">
        <v>69.900000000000006</v>
      </c>
      <c r="K161" t="s">
        <v>20</v>
      </c>
      <c r="L161" s="1">
        <v>45341</v>
      </c>
      <c r="M161" s="2">
        <v>0.36907407407407405</v>
      </c>
      <c r="N161" t="s">
        <v>21</v>
      </c>
      <c r="O161" t="s">
        <v>22</v>
      </c>
      <c r="P161">
        <f>Zara_data[[#This Row],[Sales Volume]]*Zara_data[[#This Row],[price]]</f>
        <v>61512.000000000007</v>
      </c>
      <c r="Q161">
        <f>Zara_data[[#This Row],[Revenue]]/Zara_data[[#This Row],[Sales Volume]]</f>
        <v>69.900000000000006</v>
      </c>
    </row>
    <row r="162" spans="1:17" x14ac:dyDescent="0.35">
      <c r="A162">
        <v>154676</v>
      </c>
      <c r="B162" t="s">
        <v>15</v>
      </c>
      <c r="C162" t="s">
        <v>16</v>
      </c>
      <c r="D162" t="s">
        <v>17</v>
      </c>
      <c r="E162" t="s">
        <v>16</v>
      </c>
      <c r="F162" s="4">
        <v>943</v>
      </c>
      <c r="G162" t="s">
        <v>18</v>
      </c>
      <c r="H162" t="s">
        <v>347</v>
      </c>
      <c r="I162" t="s">
        <v>348</v>
      </c>
      <c r="J162" s="3">
        <v>69.900000000000006</v>
      </c>
      <c r="K162" t="s">
        <v>20</v>
      </c>
      <c r="L162" s="1">
        <v>45341</v>
      </c>
      <c r="M162" s="2">
        <v>0.36908564814814815</v>
      </c>
      <c r="N162" t="s">
        <v>21</v>
      </c>
      <c r="O162" t="s">
        <v>22</v>
      </c>
      <c r="P162">
        <f>Zara_data[[#This Row],[Sales Volume]]*Zara_data[[#This Row],[price]]</f>
        <v>65915.700000000012</v>
      </c>
      <c r="Q162">
        <f>Zara_data[[#This Row],[Revenue]]/Zara_data[[#This Row],[Sales Volume]]</f>
        <v>69.900000000000006</v>
      </c>
    </row>
    <row r="163" spans="1:17" x14ac:dyDescent="0.35">
      <c r="A163">
        <v>175584</v>
      </c>
      <c r="B163" t="s">
        <v>35</v>
      </c>
      <c r="C163" t="s">
        <v>16</v>
      </c>
      <c r="D163" t="s">
        <v>17</v>
      </c>
      <c r="E163" t="s">
        <v>16</v>
      </c>
      <c r="F163" s="4">
        <v>2084</v>
      </c>
      <c r="G163" t="s">
        <v>18</v>
      </c>
      <c r="H163" t="s">
        <v>349</v>
      </c>
      <c r="I163" t="s">
        <v>350</v>
      </c>
      <c r="J163" s="3">
        <v>69.900000000000006</v>
      </c>
      <c r="K163" t="s">
        <v>20</v>
      </c>
      <c r="L163" s="1">
        <v>45341</v>
      </c>
      <c r="M163" s="2">
        <v>0.37126157407407406</v>
      </c>
      <c r="N163" t="s">
        <v>351</v>
      </c>
      <c r="O163" t="s">
        <v>22</v>
      </c>
      <c r="P163">
        <f>Zara_data[[#This Row],[Sales Volume]]*Zara_data[[#This Row],[price]]</f>
        <v>145671.6</v>
      </c>
      <c r="Q163">
        <f>Zara_data[[#This Row],[Revenue]]/Zara_data[[#This Row],[Sales Volume]]</f>
        <v>69.900000000000006</v>
      </c>
    </row>
    <row r="164" spans="1:17" x14ac:dyDescent="0.35">
      <c r="A164">
        <v>147491</v>
      </c>
      <c r="B164" t="s">
        <v>25</v>
      </c>
      <c r="C164" t="s">
        <v>16</v>
      </c>
      <c r="D164" t="s">
        <v>17</v>
      </c>
      <c r="E164" t="s">
        <v>16</v>
      </c>
      <c r="F164" s="4">
        <v>1563</v>
      </c>
      <c r="G164" t="s">
        <v>18</v>
      </c>
      <c r="H164" t="s">
        <v>352</v>
      </c>
      <c r="I164" t="s">
        <v>353</v>
      </c>
      <c r="J164" s="3">
        <v>59.9</v>
      </c>
      <c r="K164" t="s">
        <v>20</v>
      </c>
      <c r="L164" s="1">
        <v>45341</v>
      </c>
      <c r="M164" s="2">
        <v>0.37127314814814816</v>
      </c>
      <c r="N164" t="s">
        <v>351</v>
      </c>
      <c r="O164" t="s">
        <v>22</v>
      </c>
      <c r="P164">
        <f>Zara_data[[#This Row],[Sales Volume]]*Zara_data[[#This Row],[price]]</f>
        <v>93623.7</v>
      </c>
      <c r="Q164">
        <f>Zara_data[[#This Row],[Revenue]]/Zara_data[[#This Row],[Sales Volume]]</f>
        <v>59.9</v>
      </c>
    </row>
    <row r="165" spans="1:17" x14ac:dyDescent="0.35">
      <c r="A165">
        <v>198283</v>
      </c>
      <c r="B165" t="s">
        <v>25</v>
      </c>
      <c r="C165" t="s">
        <v>26</v>
      </c>
      <c r="D165" t="s">
        <v>17</v>
      </c>
      <c r="E165" t="s">
        <v>26</v>
      </c>
      <c r="F165" s="4">
        <v>1558</v>
      </c>
      <c r="G165" t="s">
        <v>18</v>
      </c>
      <c r="H165" t="s">
        <v>354</v>
      </c>
      <c r="I165" t="s">
        <v>355</v>
      </c>
      <c r="J165" s="3">
        <v>69.900000000000006</v>
      </c>
      <c r="K165" t="s">
        <v>20</v>
      </c>
      <c r="L165" s="1">
        <v>45341</v>
      </c>
      <c r="M165" s="2">
        <v>0.3712847222222222</v>
      </c>
      <c r="N165" t="s">
        <v>351</v>
      </c>
      <c r="O165" t="s">
        <v>22</v>
      </c>
      <c r="P165">
        <f>Zara_data[[#This Row],[Sales Volume]]*Zara_data[[#This Row],[price]]</f>
        <v>108904.20000000001</v>
      </c>
      <c r="Q165">
        <f>Zara_data[[#This Row],[Revenue]]/Zara_data[[#This Row],[Sales Volume]]</f>
        <v>69.900000000000006</v>
      </c>
    </row>
    <row r="166" spans="1:17" x14ac:dyDescent="0.35">
      <c r="A166">
        <v>186083</v>
      </c>
      <c r="B166" t="s">
        <v>25</v>
      </c>
      <c r="C166" t="s">
        <v>16</v>
      </c>
      <c r="D166" t="s">
        <v>17</v>
      </c>
      <c r="E166" t="s">
        <v>26</v>
      </c>
      <c r="F166" s="4">
        <v>624</v>
      </c>
      <c r="G166" t="s">
        <v>18</v>
      </c>
      <c r="H166" t="s">
        <v>356</v>
      </c>
      <c r="I166" t="s">
        <v>357</v>
      </c>
      <c r="J166" s="3">
        <v>49.9</v>
      </c>
      <c r="K166" t="s">
        <v>20</v>
      </c>
      <c r="L166" s="1">
        <v>45341</v>
      </c>
      <c r="M166" s="2">
        <v>0.37129629629629629</v>
      </c>
      <c r="N166" t="s">
        <v>351</v>
      </c>
      <c r="O166" t="s">
        <v>22</v>
      </c>
      <c r="P166">
        <f>Zara_data[[#This Row],[Sales Volume]]*Zara_data[[#This Row],[price]]</f>
        <v>31137.599999999999</v>
      </c>
      <c r="Q166">
        <f>Zara_data[[#This Row],[Revenue]]/Zara_data[[#This Row],[Sales Volume]]</f>
        <v>49.9</v>
      </c>
    </row>
    <row r="167" spans="1:17" x14ac:dyDescent="0.35">
      <c r="A167">
        <v>171776</v>
      </c>
      <c r="B167" t="s">
        <v>15</v>
      </c>
      <c r="C167" t="s">
        <v>26</v>
      </c>
      <c r="D167" t="s">
        <v>17</v>
      </c>
      <c r="E167" t="s">
        <v>16</v>
      </c>
      <c r="F167" s="4">
        <v>1685</v>
      </c>
      <c r="G167" t="s">
        <v>18</v>
      </c>
      <c r="H167" t="s">
        <v>358</v>
      </c>
      <c r="I167" t="s">
        <v>359</v>
      </c>
      <c r="J167" s="3">
        <v>12.99</v>
      </c>
      <c r="K167" t="s">
        <v>20</v>
      </c>
      <c r="L167" s="1">
        <v>45341</v>
      </c>
      <c r="M167" s="2">
        <v>0.37130787037037039</v>
      </c>
      <c r="N167" t="s">
        <v>351</v>
      </c>
      <c r="O167" t="s">
        <v>22</v>
      </c>
      <c r="P167">
        <f>Zara_data[[#This Row],[Sales Volume]]*Zara_data[[#This Row],[price]]</f>
        <v>21888.15</v>
      </c>
      <c r="Q167">
        <f>Zara_data[[#This Row],[Revenue]]/Zara_data[[#This Row],[Sales Volume]]</f>
        <v>12.99</v>
      </c>
    </row>
    <row r="168" spans="1:17" x14ac:dyDescent="0.35">
      <c r="A168">
        <v>134429</v>
      </c>
      <c r="B168" t="s">
        <v>15</v>
      </c>
      <c r="C168" t="s">
        <v>16</v>
      </c>
      <c r="D168" t="s">
        <v>17</v>
      </c>
      <c r="E168" t="s">
        <v>16</v>
      </c>
      <c r="F168" s="4">
        <v>2914</v>
      </c>
      <c r="G168" t="s">
        <v>18</v>
      </c>
      <c r="H168" t="s">
        <v>360</v>
      </c>
      <c r="I168" t="s">
        <v>361</v>
      </c>
      <c r="J168" s="3">
        <v>69.900000000000006</v>
      </c>
      <c r="K168" t="s">
        <v>20</v>
      </c>
      <c r="L168" s="1">
        <v>45341</v>
      </c>
      <c r="M168" s="2">
        <v>0.37130787037037039</v>
      </c>
      <c r="N168" t="s">
        <v>351</v>
      </c>
      <c r="O168" t="s">
        <v>22</v>
      </c>
      <c r="P168">
        <f>Zara_data[[#This Row],[Sales Volume]]*Zara_data[[#This Row],[price]]</f>
        <v>203688.6</v>
      </c>
      <c r="Q168">
        <f>Zara_data[[#This Row],[Revenue]]/Zara_data[[#This Row],[Sales Volume]]</f>
        <v>69.900000000000006</v>
      </c>
    </row>
    <row r="169" spans="1:17" x14ac:dyDescent="0.35">
      <c r="A169">
        <v>136272</v>
      </c>
      <c r="B169" t="s">
        <v>25</v>
      </c>
      <c r="C169" t="s">
        <v>16</v>
      </c>
      <c r="D169" t="s">
        <v>17</v>
      </c>
      <c r="E169" t="s">
        <v>26</v>
      </c>
      <c r="F169" s="4">
        <v>2887</v>
      </c>
      <c r="G169" t="s">
        <v>18</v>
      </c>
      <c r="H169" t="s">
        <v>362</v>
      </c>
      <c r="I169" t="s">
        <v>363</v>
      </c>
      <c r="J169" s="3">
        <v>12.99</v>
      </c>
      <c r="K169" t="s">
        <v>20</v>
      </c>
      <c r="L169" s="1">
        <v>45341</v>
      </c>
      <c r="M169" s="2">
        <v>0.37135416666666665</v>
      </c>
      <c r="N169" t="s">
        <v>283</v>
      </c>
      <c r="O169" t="s">
        <v>22</v>
      </c>
      <c r="P169">
        <f>Zara_data[[#This Row],[Sales Volume]]*Zara_data[[#This Row],[price]]</f>
        <v>37502.129999999997</v>
      </c>
      <c r="Q169">
        <f>Zara_data[[#This Row],[Revenue]]/Zara_data[[#This Row],[Sales Volume]]</f>
        <v>12.989999999999998</v>
      </c>
    </row>
    <row r="170" spans="1:17" x14ac:dyDescent="0.35">
      <c r="A170">
        <v>165786</v>
      </c>
      <c r="B170" t="s">
        <v>25</v>
      </c>
      <c r="C170" t="s">
        <v>16</v>
      </c>
      <c r="D170" t="s">
        <v>17</v>
      </c>
      <c r="E170" t="s">
        <v>26</v>
      </c>
      <c r="F170" s="4">
        <v>1278</v>
      </c>
      <c r="G170" t="s">
        <v>18</v>
      </c>
      <c r="H170" t="s">
        <v>364</v>
      </c>
      <c r="I170" t="s">
        <v>365</v>
      </c>
      <c r="J170" s="3">
        <v>59.9</v>
      </c>
      <c r="K170" t="s">
        <v>20</v>
      </c>
      <c r="L170" s="1">
        <v>45341</v>
      </c>
      <c r="M170" s="2">
        <v>0.37136574074074075</v>
      </c>
      <c r="N170" t="s">
        <v>283</v>
      </c>
      <c r="O170" t="s">
        <v>22</v>
      </c>
      <c r="P170">
        <f>Zara_data[[#This Row],[Sales Volume]]*Zara_data[[#This Row],[price]]</f>
        <v>76552.2</v>
      </c>
      <c r="Q170">
        <f>Zara_data[[#This Row],[Revenue]]/Zara_data[[#This Row],[Sales Volume]]</f>
        <v>59.9</v>
      </c>
    </row>
    <row r="171" spans="1:17" x14ac:dyDescent="0.35">
      <c r="A171">
        <v>174708</v>
      </c>
      <c r="B171" t="s">
        <v>35</v>
      </c>
      <c r="C171" t="s">
        <v>16</v>
      </c>
      <c r="D171" t="s">
        <v>17</v>
      </c>
      <c r="E171" t="s">
        <v>26</v>
      </c>
      <c r="F171" s="4">
        <v>529</v>
      </c>
      <c r="G171" t="s">
        <v>18</v>
      </c>
      <c r="H171" t="s">
        <v>366</v>
      </c>
      <c r="I171" t="s">
        <v>367</v>
      </c>
      <c r="J171" s="3">
        <v>59.9</v>
      </c>
      <c r="K171" t="s">
        <v>20</v>
      </c>
      <c r="L171" s="1">
        <v>45341</v>
      </c>
      <c r="M171" s="2">
        <v>0.37137731481481484</v>
      </c>
      <c r="N171" t="s">
        <v>283</v>
      </c>
      <c r="O171" t="s">
        <v>22</v>
      </c>
      <c r="P171">
        <f>Zara_data[[#This Row],[Sales Volume]]*Zara_data[[#This Row],[price]]</f>
        <v>31687.1</v>
      </c>
      <c r="Q171">
        <f>Zara_data[[#This Row],[Revenue]]/Zara_data[[#This Row],[Sales Volume]]</f>
        <v>59.9</v>
      </c>
    </row>
    <row r="172" spans="1:17" x14ac:dyDescent="0.35">
      <c r="A172">
        <v>142257</v>
      </c>
      <c r="B172" t="s">
        <v>15</v>
      </c>
      <c r="C172" t="s">
        <v>26</v>
      </c>
      <c r="D172" t="s">
        <v>17</v>
      </c>
      <c r="E172" t="s">
        <v>26</v>
      </c>
      <c r="F172" s="4">
        <v>1180</v>
      </c>
      <c r="G172" t="s">
        <v>18</v>
      </c>
      <c r="H172" t="s">
        <v>368</v>
      </c>
      <c r="I172" t="s">
        <v>369</v>
      </c>
      <c r="J172" s="3">
        <v>19.899999999999999</v>
      </c>
      <c r="K172" t="s">
        <v>20</v>
      </c>
      <c r="L172" s="1">
        <v>45341</v>
      </c>
      <c r="M172" s="2">
        <v>0.37252314814814813</v>
      </c>
      <c r="N172" t="s">
        <v>370</v>
      </c>
      <c r="O172" t="s">
        <v>22</v>
      </c>
      <c r="P172">
        <f>Zara_data[[#This Row],[Sales Volume]]*Zara_data[[#This Row],[price]]</f>
        <v>23482</v>
      </c>
      <c r="Q172">
        <f>Zara_data[[#This Row],[Revenue]]/Zara_data[[#This Row],[Sales Volume]]</f>
        <v>19.899999999999999</v>
      </c>
    </row>
    <row r="173" spans="1:17" x14ac:dyDescent="0.35">
      <c r="A173">
        <v>126146</v>
      </c>
      <c r="B173" t="s">
        <v>15</v>
      </c>
      <c r="C173" t="s">
        <v>16</v>
      </c>
      <c r="D173" t="s">
        <v>17</v>
      </c>
      <c r="E173" t="s">
        <v>16</v>
      </c>
      <c r="F173" s="4">
        <v>2759</v>
      </c>
      <c r="G173" t="s">
        <v>18</v>
      </c>
      <c r="H173" t="s">
        <v>371</v>
      </c>
      <c r="I173" t="s">
        <v>372</v>
      </c>
      <c r="J173" s="3">
        <v>39.9</v>
      </c>
      <c r="K173" t="s">
        <v>20</v>
      </c>
      <c r="L173" s="1">
        <v>45341</v>
      </c>
      <c r="M173" s="2">
        <v>0.37252314814814813</v>
      </c>
      <c r="N173" t="s">
        <v>370</v>
      </c>
      <c r="O173" t="s">
        <v>22</v>
      </c>
      <c r="P173">
        <f>Zara_data[[#This Row],[Sales Volume]]*Zara_data[[#This Row],[price]]</f>
        <v>110084.09999999999</v>
      </c>
      <c r="Q173">
        <f>Zara_data[[#This Row],[Revenue]]/Zara_data[[#This Row],[Sales Volume]]</f>
        <v>39.9</v>
      </c>
    </row>
    <row r="174" spans="1:17" x14ac:dyDescent="0.35">
      <c r="A174">
        <v>129134</v>
      </c>
      <c r="B174" t="s">
        <v>15</v>
      </c>
      <c r="C174" t="s">
        <v>16</v>
      </c>
      <c r="D174" t="s">
        <v>17</v>
      </c>
      <c r="E174" t="s">
        <v>26</v>
      </c>
      <c r="F174" s="4">
        <v>1831</v>
      </c>
      <c r="G174" t="s">
        <v>18</v>
      </c>
      <c r="H174" t="s">
        <v>373</v>
      </c>
      <c r="I174" t="s">
        <v>374</v>
      </c>
      <c r="J174" s="3">
        <v>29.9</v>
      </c>
      <c r="K174" t="s">
        <v>20</v>
      </c>
      <c r="L174" s="1">
        <v>45341</v>
      </c>
      <c r="M174" s="2">
        <v>0.37253472222222223</v>
      </c>
      <c r="N174" t="s">
        <v>370</v>
      </c>
      <c r="O174" t="s">
        <v>22</v>
      </c>
      <c r="P174">
        <f>Zara_data[[#This Row],[Sales Volume]]*Zara_data[[#This Row],[price]]</f>
        <v>54746.899999999994</v>
      </c>
      <c r="Q174">
        <f>Zara_data[[#This Row],[Revenue]]/Zara_data[[#This Row],[Sales Volume]]</f>
        <v>29.9</v>
      </c>
    </row>
    <row r="175" spans="1:17" x14ac:dyDescent="0.35">
      <c r="A175">
        <v>129898</v>
      </c>
      <c r="B175" t="s">
        <v>25</v>
      </c>
      <c r="C175" t="s">
        <v>16</v>
      </c>
      <c r="D175" t="s">
        <v>17</v>
      </c>
      <c r="E175" t="s">
        <v>16</v>
      </c>
      <c r="F175" s="4">
        <v>1866</v>
      </c>
      <c r="G175" t="s">
        <v>18</v>
      </c>
      <c r="H175" t="s">
        <v>375</v>
      </c>
      <c r="I175" t="s">
        <v>376</v>
      </c>
      <c r="J175" s="3">
        <v>39.9</v>
      </c>
      <c r="K175" t="s">
        <v>20</v>
      </c>
      <c r="L175" s="1">
        <v>45341</v>
      </c>
      <c r="M175" s="2">
        <v>0.37253472222222223</v>
      </c>
      <c r="N175" t="s">
        <v>370</v>
      </c>
      <c r="O175" t="s">
        <v>22</v>
      </c>
      <c r="P175">
        <f>Zara_data[[#This Row],[Sales Volume]]*Zara_data[[#This Row],[price]]</f>
        <v>74453.399999999994</v>
      </c>
      <c r="Q175">
        <f>Zara_data[[#This Row],[Revenue]]/Zara_data[[#This Row],[Sales Volume]]</f>
        <v>39.9</v>
      </c>
    </row>
    <row r="176" spans="1:17" x14ac:dyDescent="0.35">
      <c r="A176">
        <v>189692</v>
      </c>
      <c r="B176" t="s">
        <v>25</v>
      </c>
      <c r="C176" t="s">
        <v>26</v>
      </c>
      <c r="D176" t="s">
        <v>17</v>
      </c>
      <c r="E176" t="s">
        <v>16</v>
      </c>
      <c r="F176" s="4">
        <v>1553</v>
      </c>
      <c r="G176" t="s">
        <v>18</v>
      </c>
      <c r="H176" t="s">
        <v>377</v>
      </c>
      <c r="I176" t="s">
        <v>378</v>
      </c>
      <c r="J176" s="3">
        <v>39.9</v>
      </c>
      <c r="K176" t="s">
        <v>20</v>
      </c>
      <c r="L176" s="1">
        <v>45341</v>
      </c>
      <c r="M176" s="2">
        <v>0.37254629629629632</v>
      </c>
      <c r="N176" t="s">
        <v>370</v>
      </c>
      <c r="O176" t="s">
        <v>22</v>
      </c>
      <c r="P176">
        <f>Zara_data[[#This Row],[Sales Volume]]*Zara_data[[#This Row],[price]]</f>
        <v>61964.7</v>
      </c>
      <c r="Q176">
        <f>Zara_data[[#This Row],[Revenue]]/Zara_data[[#This Row],[Sales Volume]]</f>
        <v>39.9</v>
      </c>
    </row>
    <row r="177" spans="1:17" x14ac:dyDescent="0.35">
      <c r="A177">
        <v>154846</v>
      </c>
      <c r="B177" t="s">
        <v>25</v>
      </c>
      <c r="C177" t="s">
        <v>26</v>
      </c>
      <c r="D177" t="s">
        <v>17</v>
      </c>
      <c r="E177" t="s">
        <v>16</v>
      </c>
      <c r="F177" s="4">
        <v>917</v>
      </c>
      <c r="G177" t="s">
        <v>18</v>
      </c>
      <c r="H177" t="s">
        <v>379</v>
      </c>
      <c r="I177" t="s">
        <v>380</v>
      </c>
      <c r="J177" s="3">
        <v>39.9</v>
      </c>
      <c r="K177" t="s">
        <v>20</v>
      </c>
      <c r="L177" s="1">
        <v>45341</v>
      </c>
      <c r="M177" s="2">
        <v>0.37254629629629632</v>
      </c>
      <c r="N177" t="s">
        <v>370</v>
      </c>
      <c r="O177" t="s">
        <v>22</v>
      </c>
      <c r="P177">
        <f>Zara_data[[#This Row],[Sales Volume]]*Zara_data[[#This Row],[price]]</f>
        <v>36588.299999999996</v>
      </c>
      <c r="Q177">
        <f>Zara_data[[#This Row],[Revenue]]/Zara_data[[#This Row],[Sales Volume]]</f>
        <v>39.9</v>
      </c>
    </row>
    <row r="178" spans="1:17" x14ac:dyDescent="0.35">
      <c r="A178">
        <v>122307</v>
      </c>
      <c r="B178" t="s">
        <v>25</v>
      </c>
      <c r="C178" t="s">
        <v>16</v>
      </c>
      <c r="D178" t="s">
        <v>17</v>
      </c>
      <c r="E178" t="s">
        <v>16</v>
      </c>
      <c r="F178" s="4">
        <v>702</v>
      </c>
      <c r="G178" t="s">
        <v>18</v>
      </c>
      <c r="H178" t="s">
        <v>381</v>
      </c>
      <c r="I178" t="s">
        <v>382</v>
      </c>
      <c r="J178" s="3">
        <v>49.9</v>
      </c>
      <c r="K178" t="s">
        <v>20</v>
      </c>
      <c r="L178" s="1">
        <v>45341</v>
      </c>
      <c r="M178" s="2">
        <v>0.37255787037037036</v>
      </c>
      <c r="N178" t="s">
        <v>370</v>
      </c>
      <c r="O178" t="s">
        <v>22</v>
      </c>
      <c r="P178">
        <f>Zara_data[[#This Row],[Sales Volume]]*Zara_data[[#This Row],[price]]</f>
        <v>35029.799999999996</v>
      </c>
      <c r="Q178">
        <f>Zara_data[[#This Row],[Revenue]]/Zara_data[[#This Row],[Sales Volume]]</f>
        <v>49.899999999999991</v>
      </c>
    </row>
    <row r="179" spans="1:17" x14ac:dyDescent="0.35">
      <c r="A179">
        <v>182099</v>
      </c>
      <c r="B179" t="s">
        <v>15</v>
      </c>
      <c r="C179" t="s">
        <v>26</v>
      </c>
      <c r="D179" t="s">
        <v>17</v>
      </c>
      <c r="E179" t="s">
        <v>16</v>
      </c>
      <c r="F179" s="4">
        <v>1978</v>
      </c>
      <c r="G179" t="s">
        <v>18</v>
      </c>
      <c r="H179" t="s">
        <v>383</v>
      </c>
      <c r="I179" t="s">
        <v>384</v>
      </c>
      <c r="J179" s="3">
        <v>39.9</v>
      </c>
      <c r="K179" t="s">
        <v>20</v>
      </c>
      <c r="L179" s="1">
        <v>45341</v>
      </c>
      <c r="M179" s="2">
        <v>0.37256944444444445</v>
      </c>
      <c r="N179" t="s">
        <v>370</v>
      </c>
      <c r="O179" t="s">
        <v>22</v>
      </c>
      <c r="P179">
        <f>Zara_data[[#This Row],[Sales Volume]]*Zara_data[[#This Row],[price]]</f>
        <v>78922.2</v>
      </c>
      <c r="Q179">
        <f>Zara_data[[#This Row],[Revenue]]/Zara_data[[#This Row],[Sales Volume]]</f>
        <v>39.9</v>
      </c>
    </row>
    <row r="180" spans="1:17" x14ac:dyDescent="0.35">
      <c r="A180">
        <v>159816</v>
      </c>
      <c r="B180" t="s">
        <v>35</v>
      </c>
      <c r="C180" t="s">
        <v>16</v>
      </c>
      <c r="D180" t="s">
        <v>17</v>
      </c>
      <c r="E180" t="s">
        <v>26</v>
      </c>
      <c r="F180" s="4">
        <v>1961</v>
      </c>
      <c r="G180" t="s">
        <v>18</v>
      </c>
      <c r="H180" t="s">
        <v>385</v>
      </c>
      <c r="I180" t="s">
        <v>386</v>
      </c>
      <c r="J180" s="3">
        <v>27.9</v>
      </c>
      <c r="K180" t="s">
        <v>20</v>
      </c>
      <c r="L180" s="1">
        <v>45341</v>
      </c>
      <c r="M180" s="2">
        <v>0.37256944444444445</v>
      </c>
      <c r="N180" t="s">
        <v>370</v>
      </c>
      <c r="O180" t="s">
        <v>22</v>
      </c>
      <c r="P180">
        <f>Zara_data[[#This Row],[Sales Volume]]*Zara_data[[#This Row],[price]]</f>
        <v>54711.899999999994</v>
      </c>
      <c r="Q180">
        <f>Zara_data[[#This Row],[Revenue]]/Zara_data[[#This Row],[Sales Volume]]</f>
        <v>27.9</v>
      </c>
    </row>
    <row r="181" spans="1:17" x14ac:dyDescent="0.35">
      <c r="A181">
        <v>165326</v>
      </c>
      <c r="B181" t="s">
        <v>15</v>
      </c>
      <c r="C181" t="s">
        <v>16</v>
      </c>
      <c r="D181" t="s">
        <v>17</v>
      </c>
      <c r="E181" t="s">
        <v>16</v>
      </c>
      <c r="F181" s="4">
        <v>1188</v>
      </c>
      <c r="G181" t="s">
        <v>18</v>
      </c>
      <c r="H181" t="s">
        <v>387</v>
      </c>
      <c r="I181" t="s">
        <v>388</v>
      </c>
      <c r="J181" s="3">
        <v>45.9</v>
      </c>
      <c r="K181" t="s">
        <v>20</v>
      </c>
      <c r="L181" s="1">
        <v>45341</v>
      </c>
      <c r="M181" s="2">
        <v>0.37258101851851849</v>
      </c>
      <c r="N181" t="s">
        <v>370</v>
      </c>
      <c r="O181" t="s">
        <v>22</v>
      </c>
      <c r="P181">
        <f>Zara_data[[#This Row],[Sales Volume]]*Zara_data[[#This Row],[price]]</f>
        <v>54529.2</v>
      </c>
      <c r="Q181">
        <f>Zara_data[[#This Row],[Revenue]]/Zara_data[[#This Row],[Sales Volume]]</f>
        <v>45.9</v>
      </c>
    </row>
    <row r="182" spans="1:17" x14ac:dyDescent="0.35">
      <c r="A182">
        <v>185154</v>
      </c>
      <c r="B182" t="s">
        <v>15</v>
      </c>
      <c r="C182" t="s">
        <v>26</v>
      </c>
      <c r="D182" t="s">
        <v>17</v>
      </c>
      <c r="E182" t="s">
        <v>16</v>
      </c>
      <c r="F182" s="4">
        <v>996</v>
      </c>
      <c r="G182" t="s">
        <v>18</v>
      </c>
      <c r="H182" t="s">
        <v>389</v>
      </c>
      <c r="I182" t="s">
        <v>390</v>
      </c>
      <c r="J182" s="3">
        <v>39.9</v>
      </c>
      <c r="K182" t="s">
        <v>20</v>
      </c>
      <c r="L182" s="1">
        <v>45341</v>
      </c>
      <c r="M182" s="2">
        <v>0.37258101851851849</v>
      </c>
      <c r="N182" t="s">
        <v>370</v>
      </c>
      <c r="O182" t="s">
        <v>22</v>
      </c>
      <c r="P182">
        <f>Zara_data[[#This Row],[Sales Volume]]*Zara_data[[#This Row],[price]]</f>
        <v>39740.400000000001</v>
      </c>
      <c r="Q182">
        <f>Zara_data[[#This Row],[Revenue]]/Zara_data[[#This Row],[Sales Volume]]</f>
        <v>39.9</v>
      </c>
    </row>
    <row r="183" spans="1:17" x14ac:dyDescent="0.35">
      <c r="A183">
        <v>141330</v>
      </c>
      <c r="B183" t="s">
        <v>15</v>
      </c>
      <c r="C183" t="s">
        <v>16</v>
      </c>
      <c r="D183" t="s">
        <v>17</v>
      </c>
      <c r="E183" t="s">
        <v>26</v>
      </c>
      <c r="F183" s="4">
        <v>1915</v>
      </c>
      <c r="G183" t="s">
        <v>18</v>
      </c>
      <c r="H183" t="s">
        <v>391</v>
      </c>
      <c r="I183" t="s">
        <v>392</v>
      </c>
      <c r="J183" s="3">
        <v>39.9</v>
      </c>
      <c r="K183" t="s">
        <v>20</v>
      </c>
      <c r="L183" s="1">
        <v>45341</v>
      </c>
      <c r="M183" s="2">
        <v>0.37259259259259259</v>
      </c>
      <c r="N183" t="s">
        <v>370</v>
      </c>
      <c r="O183" t="s">
        <v>22</v>
      </c>
      <c r="P183">
        <f>Zara_data[[#This Row],[Sales Volume]]*Zara_data[[#This Row],[price]]</f>
        <v>76408.5</v>
      </c>
      <c r="Q183">
        <f>Zara_data[[#This Row],[Revenue]]/Zara_data[[#This Row],[Sales Volume]]</f>
        <v>39.9</v>
      </c>
    </row>
    <row r="184" spans="1:17" x14ac:dyDescent="0.35">
      <c r="A184">
        <v>135857</v>
      </c>
      <c r="B184" t="s">
        <v>15</v>
      </c>
      <c r="C184" t="s">
        <v>16</v>
      </c>
      <c r="D184" t="s">
        <v>17</v>
      </c>
      <c r="E184" t="s">
        <v>26</v>
      </c>
      <c r="F184" s="4">
        <v>2045</v>
      </c>
      <c r="G184" t="s">
        <v>18</v>
      </c>
      <c r="H184" t="s">
        <v>393</v>
      </c>
      <c r="I184" t="s">
        <v>394</v>
      </c>
      <c r="J184" s="3">
        <v>45.9</v>
      </c>
      <c r="K184" t="s">
        <v>20</v>
      </c>
      <c r="L184" s="1">
        <v>45341</v>
      </c>
      <c r="M184" s="2">
        <v>0.37261574074074072</v>
      </c>
      <c r="N184" t="s">
        <v>370</v>
      </c>
      <c r="O184" t="s">
        <v>22</v>
      </c>
      <c r="P184">
        <f>Zara_data[[#This Row],[Sales Volume]]*Zara_data[[#This Row],[price]]</f>
        <v>93865.5</v>
      </c>
      <c r="Q184">
        <f>Zara_data[[#This Row],[Revenue]]/Zara_data[[#This Row],[Sales Volume]]</f>
        <v>45.9</v>
      </c>
    </row>
    <row r="185" spans="1:17" x14ac:dyDescent="0.35">
      <c r="A185">
        <v>147690</v>
      </c>
      <c r="B185" t="s">
        <v>15</v>
      </c>
      <c r="C185" t="s">
        <v>26</v>
      </c>
      <c r="D185" t="s">
        <v>17</v>
      </c>
      <c r="E185" t="s">
        <v>16</v>
      </c>
      <c r="F185" s="4">
        <v>881</v>
      </c>
      <c r="G185" t="s">
        <v>18</v>
      </c>
      <c r="H185" t="s">
        <v>395</v>
      </c>
      <c r="I185" t="s">
        <v>396</v>
      </c>
      <c r="J185" s="3">
        <v>39.9</v>
      </c>
      <c r="K185" t="s">
        <v>20</v>
      </c>
      <c r="L185" s="1">
        <v>45341</v>
      </c>
      <c r="M185" s="2">
        <v>0.37261574074074072</v>
      </c>
      <c r="N185" t="s">
        <v>370</v>
      </c>
      <c r="O185" t="s">
        <v>22</v>
      </c>
      <c r="P185">
        <f>Zara_data[[#This Row],[Sales Volume]]*Zara_data[[#This Row],[price]]</f>
        <v>35151.9</v>
      </c>
      <c r="Q185">
        <f>Zara_data[[#This Row],[Revenue]]/Zara_data[[#This Row],[Sales Volume]]</f>
        <v>39.9</v>
      </c>
    </row>
    <row r="186" spans="1:17" x14ac:dyDescent="0.35">
      <c r="A186">
        <v>130321</v>
      </c>
      <c r="B186" t="s">
        <v>25</v>
      </c>
      <c r="C186" t="s">
        <v>26</v>
      </c>
      <c r="D186" t="s">
        <v>17</v>
      </c>
      <c r="E186" t="s">
        <v>16</v>
      </c>
      <c r="F186" s="4">
        <v>2093</v>
      </c>
      <c r="G186" t="s">
        <v>18</v>
      </c>
      <c r="H186" t="s">
        <v>397</v>
      </c>
      <c r="I186" t="s">
        <v>398</v>
      </c>
      <c r="J186" s="3">
        <v>39.9</v>
      </c>
      <c r="K186" t="s">
        <v>20</v>
      </c>
      <c r="L186" s="1">
        <v>45341</v>
      </c>
      <c r="M186" s="2">
        <v>0.37262731481481481</v>
      </c>
      <c r="N186" t="s">
        <v>370</v>
      </c>
      <c r="O186" t="s">
        <v>22</v>
      </c>
      <c r="P186">
        <f>Zara_data[[#This Row],[Sales Volume]]*Zara_data[[#This Row],[price]]</f>
        <v>83510.7</v>
      </c>
      <c r="Q186">
        <f>Zara_data[[#This Row],[Revenue]]/Zara_data[[#This Row],[Sales Volume]]</f>
        <v>39.9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D9FFC2-4B80-4387-983A-563CD79A97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Sheet2</vt:lpstr>
      <vt:lpstr>dashboard</vt:lpstr>
      <vt:lpstr>Insights</vt:lpstr>
      <vt:lpstr>Sheet5</vt:lpstr>
      <vt:lpstr>Sheet6</vt:lpstr>
      <vt:lpstr>Sheet7</vt:lpstr>
      <vt:lpstr>Zara_data</vt:lpstr>
      <vt:lpstr>Grupa</vt:lpstr>
      <vt:lpstr>Possition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Pawel Czechowicz</dc:creator>
  <cp:lastModifiedBy>Pawel Czechowicz</cp:lastModifiedBy>
  <dcterms:created xsi:type="dcterms:W3CDTF">2026-01-17T04:47:52Z</dcterms:created>
  <dcterms:modified xsi:type="dcterms:W3CDTF">2026-02-14T07:51:23Z</dcterms:modified>
</cp:coreProperties>
</file>